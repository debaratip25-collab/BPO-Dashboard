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Business Analyst\Business Process Optimization &amp; Efficiency Dashboard\"/>
    </mc:Choice>
  </mc:AlternateContent>
  <xr:revisionPtr revIDLastSave="0" documentId="13_ncr:1_{7A482153-235C-4934-8063-646ADBD9733C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Process Data" sheetId="1" r:id="rId1"/>
    <sheet name="KPI Summary" sheetId="2" r:id="rId2"/>
    <sheet name="Department Analysis" sheetId="3" r:id="rId3"/>
    <sheet name="Process Analysis" sheetId="4" r:id="rId4"/>
    <sheet name="SLA Dashboard" sheetId="5" r:id="rId5"/>
    <sheet name="Cost Analysis" sheetId="6" r:id="rId6"/>
    <sheet name="Bottleneck Analysis" sheetId="7" r:id="rId7"/>
    <sheet name="Error &amp; Rework" sheetId="8" r:id="rId8"/>
    <sheet name="Recommendations" sheetId="9" r:id="rId9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121" i="1" l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<sst xmlns="http://schemas.openxmlformats.org/spreadsheetml/2006/main" count="1727" uniqueCount="413">
  <si>
    <t>Process ID</t>
  </si>
  <si>
    <t>Process Name</t>
  </si>
  <si>
    <t>Department</t>
  </si>
  <si>
    <t>Process Owner</t>
  </si>
  <si>
    <t>Start Date</t>
  </si>
  <si>
    <t>End Date</t>
  </si>
  <si>
    <t>Cycle Time (Hours)</t>
  </si>
  <si>
    <t>Standard Cycle Time</t>
  </si>
  <si>
    <t>Employee Assigned</t>
  </si>
  <si>
    <t>Task Volume</t>
  </si>
  <si>
    <t>Tasks Completed</t>
  </si>
  <si>
    <t>Productivity %</t>
  </si>
  <si>
    <t>Error Count</t>
  </si>
  <si>
    <t>Rework Count</t>
  </si>
  <si>
    <t>Process Cost ($)</t>
  </si>
  <si>
    <t>Customer Complaints</t>
  </si>
  <si>
    <t>SLA Target (%)</t>
  </si>
  <si>
    <t>SLA Achieved (%)</t>
  </si>
  <si>
    <t>Process Status</t>
  </si>
  <si>
    <t>Improvement Opportunity</t>
  </si>
  <si>
    <t>Process Efficiency %</t>
  </si>
  <si>
    <t>Error Rate %</t>
  </si>
  <si>
    <t>Rework Rate %</t>
  </si>
  <si>
    <t>Task Completion Rate %</t>
  </si>
  <si>
    <t>Cost per Task ($)</t>
  </si>
  <si>
    <t>SLA Breach</t>
  </si>
  <si>
    <t>PRC-0001</t>
  </si>
  <si>
    <t>Data Reconciliation</t>
  </si>
  <si>
    <t>Finance</t>
  </si>
  <si>
    <t>Rajan Mehta</t>
  </si>
  <si>
    <t>2024-02-27</t>
  </si>
  <si>
    <t>Completed</t>
  </si>
  <si>
    <t>Automate manual steps</t>
  </si>
  <si>
    <t>PRC-0002</t>
  </si>
  <si>
    <t>Vendor Payment</t>
  </si>
  <si>
    <t>Kavya Iyer</t>
  </si>
  <si>
    <t>2024-09-15</t>
  </si>
  <si>
    <t>Delayed</t>
  </si>
  <si>
    <t>Implement RPA</t>
  </si>
  <si>
    <t>PRC-0003</t>
  </si>
  <si>
    <t>IT Support Ticket</t>
  </si>
  <si>
    <t>IT</t>
  </si>
  <si>
    <t>Pooja Patel</t>
  </si>
  <si>
    <t>2024-03-20</t>
  </si>
  <si>
    <t>Reassign resources</t>
  </si>
  <si>
    <t>PRC-0004</t>
  </si>
  <si>
    <t>Employee Onboarding</t>
  </si>
  <si>
    <t>HR</t>
  </si>
  <si>
    <t>2024-07-12</t>
  </si>
  <si>
    <t>Digitize paper forms</t>
  </si>
  <si>
    <t>PRC-0005</t>
  </si>
  <si>
    <t>Budget Approval</t>
  </si>
  <si>
    <t>Rahul Verma</t>
  </si>
  <si>
    <t>2024-02-21</t>
  </si>
  <si>
    <t>On Hold</t>
  </si>
  <si>
    <t>Reduce approval layers</t>
  </si>
  <si>
    <t>PRC-0006</t>
  </si>
  <si>
    <t>Payroll Processing</t>
  </si>
  <si>
    <t>Arjun Singh</t>
  </si>
  <si>
    <t>2024-05-05</t>
  </si>
  <si>
    <t>PRC-0007</t>
  </si>
  <si>
    <t>Vikram Nair</t>
  </si>
  <si>
    <t>2024-02-03</t>
  </si>
  <si>
    <t>PRC-0008</t>
  </si>
  <si>
    <t>Customer Complaint Handling</t>
  </si>
  <si>
    <t>CX</t>
  </si>
  <si>
    <t>2024-10-26</t>
  </si>
  <si>
    <t>In Progress</t>
  </si>
  <si>
    <t>Add SLA alerts</t>
  </si>
  <si>
    <t>PRC-0009</t>
  </si>
  <si>
    <t>Quality Inspection</t>
  </si>
  <si>
    <t>Operations</t>
  </si>
  <si>
    <t>2024-07-14</t>
  </si>
  <si>
    <t>2024-07-15</t>
  </si>
  <si>
    <t>Consolidate duplicate steps</t>
  </si>
  <si>
    <t>PRC-0010</t>
  </si>
  <si>
    <t>2024-03-21</t>
  </si>
  <si>
    <t>Improve training</t>
  </si>
  <si>
    <t>PRC-0011</t>
  </si>
  <si>
    <t>Customer Onboarding</t>
  </si>
  <si>
    <t>Sales</t>
  </si>
  <si>
    <t>Priya Sharma</t>
  </si>
  <si>
    <t>2024-07-10</t>
  </si>
  <si>
    <t>Streamline handoffs</t>
  </si>
  <si>
    <t>PRC-0012</t>
  </si>
  <si>
    <t>2024-10-17</t>
  </si>
  <si>
    <t>None Required</t>
  </si>
  <si>
    <t>PRC-0013</t>
  </si>
  <si>
    <t>2024-10-03</t>
  </si>
  <si>
    <t>2024-10-04</t>
  </si>
  <si>
    <t>PRC-0014</t>
  </si>
  <si>
    <t>Order Fulfillment</t>
  </si>
  <si>
    <t>2024-10-28</t>
  </si>
  <si>
    <t>PRC-0015</t>
  </si>
  <si>
    <t>2024-09-05</t>
  </si>
  <si>
    <t>PRC-0016</t>
  </si>
  <si>
    <t>Inventory Management</t>
  </si>
  <si>
    <t>Ananya Das</t>
  </si>
  <si>
    <t>2024-01-28</t>
  </si>
  <si>
    <t>PRC-0017</t>
  </si>
  <si>
    <t>2024-05-22</t>
  </si>
  <si>
    <t>PRC-0018</t>
  </si>
  <si>
    <t>Suresh Reddy</t>
  </si>
  <si>
    <t>2024-09-03</t>
  </si>
  <si>
    <t>PRC-0019</t>
  </si>
  <si>
    <t>2024-05-31</t>
  </si>
  <si>
    <t>PRC-0020</t>
  </si>
  <si>
    <t>2024-02-11</t>
  </si>
  <si>
    <t>PRC-0021</t>
  </si>
  <si>
    <t>2024-10-25</t>
  </si>
  <si>
    <t>PRC-0022</t>
  </si>
  <si>
    <t>2024-08-22</t>
  </si>
  <si>
    <t>2024-08-23</t>
  </si>
  <si>
    <t>PRC-0023</t>
  </si>
  <si>
    <t>Contract Review</t>
  </si>
  <si>
    <t>Legal</t>
  </si>
  <si>
    <t>2024-11-30</t>
  </si>
  <si>
    <t>PRC-0024</t>
  </si>
  <si>
    <t>2024-11-05</t>
  </si>
  <si>
    <t>PRC-0025</t>
  </si>
  <si>
    <t>HR Recruitment</t>
  </si>
  <si>
    <t>2024-03-07</t>
  </si>
  <si>
    <t>2024-03-08</t>
  </si>
  <si>
    <t>PRC-0026</t>
  </si>
  <si>
    <t>2024-10-09</t>
  </si>
  <si>
    <t>PRC-0027</t>
  </si>
  <si>
    <t>Neha Gupta</t>
  </si>
  <si>
    <t>2024-05-01</t>
  </si>
  <si>
    <t>PRC-0028</t>
  </si>
  <si>
    <t>Product Return Processing</t>
  </si>
  <si>
    <t>2024-12-25</t>
  </si>
  <si>
    <t>PRC-0029</t>
  </si>
  <si>
    <t>2024-04-08</t>
  </si>
  <si>
    <t>PRC-0030</t>
  </si>
  <si>
    <t>2024-10-24</t>
  </si>
  <si>
    <t>PRC-0031</t>
  </si>
  <si>
    <t>2024-08-11</t>
  </si>
  <si>
    <t>PRC-0032</t>
  </si>
  <si>
    <t>2024-03-04</t>
  </si>
  <si>
    <t>2024-03-05</t>
  </si>
  <si>
    <t>PRC-0033</t>
  </si>
  <si>
    <t>2024-10-07</t>
  </si>
  <si>
    <t>PRC-0034</t>
  </si>
  <si>
    <t>2024-02-13</t>
  </si>
  <si>
    <t>PRC-0035</t>
  </si>
  <si>
    <t>2024-02-07</t>
  </si>
  <si>
    <t>PRC-0036</t>
  </si>
  <si>
    <t>2024-03-31</t>
  </si>
  <si>
    <t>2024-04-01</t>
  </si>
  <si>
    <t>PRC-0037</t>
  </si>
  <si>
    <t>2024-08-14</t>
  </si>
  <si>
    <t>2024-08-15</t>
  </si>
  <si>
    <t>PRC-0038</t>
  </si>
  <si>
    <t>2024-05-02</t>
  </si>
  <si>
    <t>PRC-0039</t>
  </si>
  <si>
    <t>2024-07-27</t>
  </si>
  <si>
    <t>PRC-0040</t>
  </si>
  <si>
    <t>2024-06-29</t>
  </si>
  <si>
    <t>PRC-0041</t>
  </si>
  <si>
    <t>2024-08-27</t>
  </si>
  <si>
    <t>PRC-0042</t>
  </si>
  <si>
    <t>2024-07-13</t>
  </si>
  <si>
    <t>PRC-0043</t>
  </si>
  <si>
    <t>2024-04-24</t>
  </si>
  <si>
    <t>PRC-0044</t>
  </si>
  <si>
    <t>2024-12-24</t>
  </si>
  <si>
    <t>PRC-0045</t>
  </si>
  <si>
    <t>2024-04-11</t>
  </si>
  <si>
    <t>PRC-0046</t>
  </si>
  <si>
    <t>2024-08-07</t>
  </si>
  <si>
    <t>PRC-0047</t>
  </si>
  <si>
    <t>2024-09-24</t>
  </si>
  <si>
    <t>PRC-0048</t>
  </si>
  <si>
    <t>2024-08-25</t>
  </si>
  <si>
    <t>PRC-0049</t>
  </si>
  <si>
    <t>2024-01-06</t>
  </si>
  <si>
    <t>2024-01-07</t>
  </si>
  <si>
    <t>PRC-0050</t>
  </si>
  <si>
    <t>Invoice Processing</t>
  </si>
  <si>
    <t>2024-05-30</t>
  </si>
  <si>
    <t>PRC-0051</t>
  </si>
  <si>
    <t>2024-08-20</t>
  </si>
  <si>
    <t>PRC-0052</t>
  </si>
  <si>
    <t>PRC-0053</t>
  </si>
  <si>
    <t>PRC-0054</t>
  </si>
  <si>
    <t>2024-09-01</t>
  </si>
  <si>
    <t>PRC-0055</t>
  </si>
  <si>
    <t>2024-11-01</t>
  </si>
  <si>
    <t>2024-11-02</t>
  </si>
  <si>
    <t>PRC-0056</t>
  </si>
  <si>
    <t>2024-04-18</t>
  </si>
  <si>
    <t>PRC-0057</t>
  </si>
  <si>
    <t>2024-12-27</t>
  </si>
  <si>
    <t>PRC-0058</t>
  </si>
  <si>
    <t>2024-04-25</t>
  </si>
  <si>
    <t>PRC-0059</t>
  </si>
  <si>
    <t>2024-12-18</t>
  </si>
  <si>
    <t>PRC-0060</t>
  </si>
  <si>
    <t>2024-12-11</t>
  </si>
  <si>
    <t>PRC-0061</t>
  </si>
  <si>
    <t>2024-09-08</t>
  </si>
  <si>
    <t>PRC-0062</t>
  </si>
  <si>
    <t>2024-06-10</t>
  </si>
  <si>
    <t>PRC-0063</t>
  </si>
  <si>
    <t>2024-05-16</t>
  </si>
  <si>
    <t>PRC-0064</t>
  </si>
  <si>
    <t>PRC-0065</t>
  </si>
  <si>
    <t>PRC-0066</t>
  </si>
  <si>
    <t>2024-10-27</t>
  </si>
  <si>
    <t>PRC-0067</t>
  </si>
  <si>
    <t>PRC-0068</t>
  </si>
  <si>
    <t>2024-09-14</t>
  </si>
  <si>
    <t>PRC-0069</t>
  </si>
  <si>
    <t>2024-05-15</t>
  </si>
  <si>
    <t>PRC-0070</t>
  </si>
  <si>
    <t>2024-02-05</t>
  </si>
  <si>
    <t>PRC-0071</t>
  </si>
  <si>
    <t>2024-06-02</t>
  </si>
  <si>
    <t>PRC-0072</t>
  </si>
  <si>
    <t>2024-11-08</t>
  </si>
  <si>
    <t>PRC-0073</t>
  </si>
  <si>
    <t>2024-10-06</t>
  </si>
  <si>
    <t>PRC-0074</t>
  </si>
  <si>
    <t>2024-10-19</t>
  </si>
  <si>
    <t>PRC-0075</t>
  </si>
  <si>
    <t>2024-05-26</t>
  </si>
  <si>
    <t>2024-05-27</t>
  </si>
  <si>
    <t>PRC-0076</t>
  </si>
  <si>
    <t>2024-08-13</t>
  </si>
  <si>
    <t>PRC-0077</t>
  </si>
  <si>
    <t>2024-03-25</t>
  </si>
  <si>
    <t>PRC-0078</t>
  </si>
  <si>
    <t>2024-07-21</t>
  </si>
  <si>
    <t>PRC-0079</t>
  </si>
  <si>
    <t>PRC-0080</t>
  </si>
  <si>
    <t>2024-04-30</t>
  </si>
  <si>
    <t>PRC-0081</t>
  </si>
  <si>
    <t>2024-01-17</t>
  </si>
  <si>
    <t>PRC-0082</t>
  </si>
  <si>
    <t>2024-04-07</t>
  </si>
  <si>
    <t>PRC-0083</t>
  </si>
  <si>
    <t>2024-10-10</t>
  </si>
  <si>
    <t>PRC-0084</t>
  </si>
  <si>
    <t>2024-01-08</t>
  </si>
  <si>
    <t>PRC-0085</t>
  </si>
  <si>
    <t>2024-07-04</t>
  </si>
  <si>
    <t>PRC-0086</t>
  </si>
  <si>
    <t>2024-07-24</t>
  </si>
  <si>
    <t>PRC-0087</t>
  </si>
  <si>
    <t>PRC-0088</t>
  </si>
  <si>
    <t>2024-04-26</t>
  </si>
  <si>
    <t>PRC-0089</t>
  </si>
  <si>
    <t>PRC-0090</t>
  </si>
  <si>
    <t>2024-01-27</t>
  </si>
  <si>
    <t>PRC-0091</t>
  </si>
  <si>
    <t>PRC-0092</t>
  </si>
  <si>
    <t>PRC-0093</t>
  </si>
  <si>
    <t>2024-08-02</t>
  </si>
  <si>
    <t>PRC-0094</t>
  </si>
  <si>
    <t>2024-12-04</t>
  </si>
  <si>
    <t>PRC-0095</t>
  </si>
  <si>
    <t>2024-04-22</t>
  </si>
  <si>
    <t>PRC-0096</t>
  </si>
  <si>
    <t>PRC-0097</t>
  </si>
  <si>
    <t>2024-07-26</t>
  </si>
  <si>
    <t>PRC-0098</t>
  </si>
  <si>
    <t>2024-02-24</t>
  </si>
  <si>
    <t>PRC-0099</t>
  </si>
  <si>
    <t>2024-06-27</t>
  </si>
  <si>
    <t>PRC-0100</t>
  </si>
  <si>
    <t>2024-10-15</t>
  </si>
  <si>
    <t>2024-10-16</t>
  </si>
  <si>
    <t>PRC-0101</t>
  </si>
  <si>
    <t>2024-05-20</t>
  </si>
  <si>
    <t>PRC-0102</t>
  </si>
  <si>
    <t>PRC-0103</t>
  </si>
  <si>
    <t>PRC-0104</t>
  </si>
  <si>
    <t>2024-06-22</t>
  </si>
  <si>
    <t>PRC-0105</t>
  </si>
  <si>
    <t>PRC-0106</t>
  </si>
  <si>
    <t>2024-12-09</t>
  </si>
  <si>
    <t>PRC-0107</t>
  </si>
  <si>
    <t>PRC-0108</t>
  </si>
  <si>
    <t>2024-07-29</t>
  </si>
  <si>
    <t>PRC-0109</t>
  </si>
  <si>
    <t>PRC-0110</t>
  </si>
  <si>
    <t>2024-07-09</t>
  </si>
  <si>
    <t>PRC-0111</t>
  </si>
  <si>
    <t>2024-08-18</t>
  </si>
  <si>
    <t>PRC-0112</t>
  </si>
  <si>
    <t>2024-01-20</t>
  </si>
  <si>
    <t>PRC-0113</t>
  </si>
  <si>
    <t>PRC-0114</t>
  </si>
  <si>
    <t>2024-03-14</t>
  </si>
  <si>
    <t>PRC-0115</t>
  </si>
  <si>
    <t>2024-08-28</t>
  </si>
  <si>
    <t>PRC-0116</t>
  </si>
  <si>
    <t>2024-01-23</t>
  </si>
  <si>
    <t>PRC-0117</t>
  </si>
  <si>
    <t>2024-04-13</t>
  </si>
  <si>
    <t>PRC-0118</t>
  </si>
  <si>
    <t>2024-01-25</t>
  </si>
  <si>
    <t>PRC-0119</t>
  </si>
  <si>
    <t>2024-02-12</t>
  </si>
  <si>
    <t>PRC-0120</t>
  </si>
  <si>
    <t>2024-12-19</t>
  </si>
  <si>
    <t>BUSINESS PROCESS OPTIMIZATION &amp; EFFICIENCY DASHBOARD</t>
  </si>
  <si>
    <t>Operational Excellence | Process Analytics | KPI Performance</t>
  </si>
  <si>
    <t>Process Efficiency</t>
  </si>
  <si>
    <t>Avg Productivity</t>
  </si>
  <si>
    <t>SLA Achievement</t>
  </si>
  <si>
    <t>Avg Cycle Time</t>
  </si>
  <si>
    <t>69.9%</t>
  </si>
  <si>
    <t>76.8%</t>
  </si>
  <si>
    <t>35.0%</t>
  </si>
  <si>
    <t>14.7 Hrs</t>
  </si>
  <si>
    <t>▲ Overall</t>
  </si>
  <si>
    <t>Task Performance</t>
  </si>
  <si>
    <t>Compliance</t>
  </si>
  <si>
    <t>vs Std</t>
  </si>
  <si>
    <t>Total Process Cost</t>
  </si>
  <si>
    <t>Avg Error Rate</t>
  </si>
  <si>
    <t>Task Completion</t>
  </si>
  <si>
    <t>SLA Violations</t>
  </si>
  <si>
    <t>$4.91M</t>
  </si>
  <si>
    <t>8.1%</t>
  </si>
  <si>
    <t>78</t>
  </si>
  <si>
    <t>120 Processes</t>
  </si>
  <si>
    <t>Needs Review</t>
  </si>
  <si>
    <t>Completion Rate</t>
  </si>
  <si>
    <t>Processes</t>
  </si>
  <si>
    <t>DEPARTMENT PERFORMANCE ANALYSIS</t>
  </si>
  <si>
    <t>Efficiency | Productivity | Cost | Error Rate by Department</t>
  </si>
  <si>
    <t># Processes</t>
  </si>
  <si>
    <t>Avg Efficiency %</t>
  </si>
  <si>
    <t>Avg Productivity %</t>
  </si>
  <si>
    <t>Total Cost ($)</t>
  </si>
  <si>
    <t>Avg Error Rate %</t>
  </si>
  <si>
    <t>SLA Breaches</t>
  </si>
  <si>
    <t>Avg Cycle Time (Hrs)</t>
  </si>
  <si>
    <t>PROCESS-LEVEL PERFORMANCE ANALYSIS</t>
  </si>
  <si>
    <t>Count</t>
  </si>
  <si>
    <t>Std Cycle Time</t>
  </si>
  <si>
    <t>Time Variance</t>
  </si>
  <si>
    <t>SLA ACHIEVEMENT DASHBOARD</t>
  </si>
  <si>
    <t>SLA Target %</t>
  </si>
  <si>
    <t>SLA Achieved %</t>
  </si>
  <si>
    <t>Gap</t>
  </si>
  <si>
    <t>Status</t>
  </si>
  <si>
    <t>MET</t>
  </si>
  <si>
    <t>BREACH</t>
  </si>
  <si>
    <t>SLA SUMMARY BY DEPARTMENT</t>
  </si>
  <si>
    <t>Avg SLA Achieved %</t>
  </si>
  <si>
    <t>SLA Breach Rate %</t>
  </si>
  <si>
    <t>PROCESS COST ANALYSIS DASHBOARD</t>
  </si>
  <si>
    <t>Cost Per Task ($)</t>
  </si>
  <si>
    <t>Total Task Volume</t>
  </si>
  <si>
    <t>BOTTLENECK &amp; IMPROVEMENT OPPORTUNITY ANALYSIS</t>
  </si>
  <si>
    <t>Actual Time (Hrs)</t>
  </si>
  <si>
    <t>Standard Time (Hrs)</t>
  </si>
  <si>
    <t>Variance (Hrs)</t>
  </si>
  <si>
    <t>True</t>
  </si>
  <si>
    <t>False</t>
  </si>
  <si>
    <t>ERROR &amp; REWORK ANALYSIS</t>
  </si>
  <si>
    <t>Total Errors</t>
  </si>
  <si>
    <t>Total Rework</t>
  </si>
  <si>
    <t>Avg Rework Rate %</t>
  </si>
  <si>
    <t>Total Tasks</t>
  </si>
  <si>
    <t>BUSINESS PROCESS IMPROVEMENT RECOMMENDATIONS</t>
  </si>
  <si>
    <t>Data-Driven Operational Improvement Plan</t>
  </si>
  <si>
    <t>#</t>
  </si>
  <si>
    <t>Finding</t>
  </si>
  <si>
    <t>Impacted Area</t>
  </si>
  <si>
    <t>Priority</t>
  </si>
  <si>
    <t>Recommendation</t>
  </si>
  <si>
    <t>Expected Benefit</t>
  </si>
  <si>
    <t>Timeline</t>
  </si>
  <si>
    <t>High error rate in CX dept</t>
  </si>
  <si>
    <t>HIGH</t>
  </si>
  <si>
    <t>Implement automated validation checks and error-proofing (poka-yoke) in key process steps</t>
  </si>
  <si>
    <t>Reduce error rate by 30–40%</t>
  </si>
  <si>
    <t>Q1 2025</t>
  </si>
  <si>
    <t>Quality Inspection has excessive cost</t>
  </si>
  <si>
    <t>Finance/Operations</t>
  </si>
  <si>
    <t>Conduct detailed cost-benefit analysis and identify automation opportunities via RPA</t>
  </si>
  <si>
    <t>Cost reduction of 20–25%</t>
  </si>
  <si>
    <t>Q2 2025</t>
  </si>
  <si>
    <t>Low efficiency in IT</t>
  </si>
  <si>
    <t>MEDIUM</t>
  </si>
  <si>
    <t>Redesign process flow, eliminate non-value-added steps, conduct Lean workshop</t>
  </si>
  <si>
    <t>Efficiency improvement of 15–20%</t>
  </si>
  <si>
    <t>SLA breaches concentrated in Finance</t>
  </si>
  <si>
    <t>Introduce real-time SLA monitoring dashboards and automated alert notifications</t>
  </si>
  <si>
    <t>SLA compliance improvement to 90%+</t>
  </si>
  <si>
    <t>High cycle time variance across multiple processes</t>
  </si>
  <si>
    <t>All Departments</t>
  </si>
  <si>
    <t>Standardize process documentation, implement SOPs, and train process owners</t>
  </si>
  <si>
    <t>Cycle time variance reduction by 25%</t>
  </si>
  <si>
    <t>Q3 2025</t>
  </si>
  <si>
    <t>Rework rates exceeding benchmark across departments</t>
  </si>
  <si>
    <t>Operations/Finance</t>
  </si>
  <si>
    <t>Root cause analysis on top rework drivers; introduce quality gates at process checkpoints</t>
  </si>
  <si>
    <t>Rework reduction of 35%</t>
  </si>
  <si>
    <t>Low productivity scores in multiple teams</t>
  </si>
  <si>
    <t>HR/Operations</t>
  </si>
  <si>
    <t>LOW</t>
  </si>
  <si>
    <t>Capacity planning review, resource reallocation, and skills gap training</t>
  </si>
  <si>
    <t>Productivity improvement of 10–15%</t>
  </si>
  <si>
    <t>Improvement opportunities labeled 'Automate' in 20+ processes</t>
  </si>
  <si>
    <t>IT/Operations</t>
  </si>
  <si>
    <t>Build automation roadmap; prioritize top 5 processes for RPA/workflow automation</t>
  </si>
  <si>
    <t>Labor savings of 30% in automated processes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</si>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</sst>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2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color rgb="FF1B2A4A"/>
      <name val="Arial"/>
      <family val="2"/>
    </font>
    <font>
      <b/>
      <sz val="9"/>
      <color rgb="FF1E8449"/>
      <name val="Arial"/>
      <family val="2"/>
    </font>
    <font>
      <b/>
      <sz val="9"/>
      <color rgb="FFC0392B"/>
      <name val="Arial"/>
      <family val="2"/>
    </font>
    <font>
      <b/>
      <sz val="9"/>
      <color rgb="FF7D6608"/>
      <name val="Arial"/>
      <family val="2"/>
    </font>
    <font>
      <b/>
      <sz val="9"/>
      <color rgb="FF2E5CA5"/>
      <name val="Arial"/>
      <family val="2"/>
    </font>
    <font>
      <b/>
      <sz val="20"/>
      <color rgb="FFFFFFFF"/>
      <name val="Arial"/>
      <family val="2"/>
    </font>
    <font>
      <sz val="11"/>
      <color rgb="FFAEC6CF"/>
      <name val="Arial"/>
      <family val="2"/>
    </font>
    <font>
      <sz val="10"/>
      <color rgb="FFFFFFFF"/>
      <name val="Arial"/>
      <family val="2"/>
    </font>
    <font>
      <b/>
      <sz val="22"/>
      <color rgb="FFFFFFFF"/>
      <name val="Arial"/>
      <family val="2"/>
    </font>
    <font>
      <sz val="9"/>
      <color rgb="FFD6DCE4"/>
      <name val="Arial"/>
      <family val="2"/>
    </font>
    <font>
      <b/>
      <sz val="16"/>
      <color rgb="FFFFFFFF"/>
      <name val="Arial"/>
      <family val="2"/>
    </font>
    <font>
      <sz val="10"/>
      <color rgb="FF6C757D"/>
      <name val="Arial"/>
      <family val="2"/>
    </font>
    <font>
      <sz val="10"/>
      <color rgb="FF1B2A4A"/>
      <name val="Arial"/>
      <family val="2"/>
    </font>
    <font>
      <b/>
      <sz val="10"/>
      <color rgb="FFC0392B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7D6608"/>
      <name val="Arial"/>
      <family val="2"/>
    </font>
    <font>
      <b/>
      <sz val="10"/>
      <color rgb="FF1E844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333300"/>
      </patternFill>
    </fill>
    <fill>
      <patternFill patternType="solid">
        <fgColor rgb="FFF5F7FA"/>
        <bgColor rgb="FFFFFFFF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5F7FA"/>
      </patternFill>
    </fill>
    <fill>
      <patternFill patternType="solid">
        <fgColor rgb="FFFADBD8"/>
        <bgColor rgb="FFD9D9D9"/>
      </patternFill>
    </fill>
    <fill>
      <patternFill patternType="solid">
        <fgColor rgb="FFFFF3CD"/>
        <bgColor rgb="FFF5F7FA"/>
      </patternFill>
    </fill>
    <fill>
      <patternFill patternType="solid">
        <fgColor rgb="FFD6EAF8"/>
        <bgColor rgb="FFD5F5E3"/>
      </patternFill>
    </fill>
    <fill>
      <patternFill patternType="solid">
        <fgColor rgb="FF17A2B8"/>
        <bgColor rgb="FF4299B0"/>
      </patternFill>
    </fill>
    <fill>
      <patternFill patternType="solid">
        <fgColor rgb="FF2E5CA5"/>
        <bgColor rgb="FF1A5276"/>
      </patternFill>
    </fill>
    <fill>
      <patternFill patternType="solid">
        <fgColor rgb="FF1A5276"/>
        <bgColor rgb="FF2E5CA5"/>
      </patternFill>
    </fill>
    <fill>
      <patternFill patternType="solid">
        <fgColor rgb="FF1E8449"/>
        <bgColor rgb="FF008000"/>
      </patternFill>
    </fill>
    <fill>
      <patternFill patternType="solid">
        <fgColor rgb="FFF4A623"/>
        <bgColor rgb="FFDC853E"/>
      </patternFill>
    </fill>
    <fill>
      <patternFill patternType="solid">
        <fgColor rgb="FFC0392B"/>
        <bgColor rgb="FFBE4B48"/>
      </patternFill>
    </fill>
    <fill>
      <patternFill patternType="solid">
        <fgColor rgb="FF7D3C98"/>
        <bgColor rgb="FF725990"/>
      </patternFill>
    </fill>
    <fill>
      <patternFill patternType="solid">
        <fgColor rgb="FF922B21"/>
        <bgColor rgb="FFC0392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6" fillId="2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0" fillId="9" borderId="0" xfId="0" applyFill="1"/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" fillId="10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" fontId="14" fillId="3" borderId="1" xfId="0" applyNumberFormat="1" applyFont="1" applyFill="1" applyBorder="1" applyAlignment="1">
      <alignment horizontal="center" vertical="center" wrapText="1"/>
    </xf>
    <xf numFmtId="4" fontId="14" fillId="5" borderId="1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7" fillId="10" borderId="0" xfId="0" applyFont="1" applyFill="1"/>
    <xf numFmtId="0" fontId="1" fillId="15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BE4B48"/>
      <rgbColor rgb="FF17A2B8"/>
      <rgbColor rgb="FFAEC6CF"/>
      <rgbColor rgb="FF878787"/>
      <rgbColor rgb="FF93A9CE"/>
      <rgbColor rgb="FFAB4744"/>
      <rgbColor rgb="FFFFF3CD"/>
      <rgbColor rgb="FFD6EAF8"/>
      <rgbColor rgb="FF660066"/>
      <rgbColor rgb="FFDC853E"/>
      <rgbColor rgb="FF2E5CA5"/>
      <rgbColor rgb="FFD0D0D0"/>
      <rgbColor rgb="FF000080"/>
      <rgbColor rgb="FFFF00FF"/>
      <rgbColor rgb="FFFFFF00"/>
      <rgbColor rgb="FF00FFFF"/>
      <rgbColor rgb="FF800080"/>
      <rgbColor rgb="FF800000"/>
      <rgbColor rgb="FF4672A8"/>
      <rgbColor rgb="FF0000FF"/>
      <rgbColor rgb="FF00CCFF"/>
      <rgbColor rgb="FFF5F7FA"/>
      <rgbColor rgb="FFD5F5E3"/>
      <rgbColor rgb="FFD9D9D9"/>
      <rgbColor rgb="FFD6DCE4"/>
      <rgbColor rgb="FFFF99CC"/>
      <rgbColor rgb="FF4F81BD"/>
      <rgbColor rgb="FFFADBD8"/>
      <rgbColor rgb="FF4A7EBB"/>
      <rgbColor rgb="FF4299B0"/>
      <rgbColor rgb="FF99CC00"/>
      <rgbColor rgb="FFFFCC00"/>
      <rgbColor rgb="FFF4A623"/>
      <rgbColor rgb="FFC0504D"/>
      <rgbColor rgb="FF725990"/>
      <rgbColor rgb="FF8AA64F"/>
      <rgbColor rgb="FF1A5276"/>
      <rgbColor rgb="FF1E8449"/>
      <rgbColor rgb="FF003300"/>
      <rgbColor rgb="FF333300"/>
      <rgbColor rgb="FF922B21"/>
      <rgbColor rgb="FF7D3C98"/>
      <rgbColor rgb="FF6C757D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Process Efficiency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Analysis'!$C$4</c:f>
              <c:strCache>
                <c:ptCount val="1"/>
                <c:pt idx="0">
                  <c:v>Avg Efficiency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Analysis'!$A$5:$A$11</c:f>
              <c:strCache>
                <c:ptCount val="7"/>
                <c:pt idx="0">
                  <c:v>CX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 Analysis'!$C$5:$C$11</c:f>
              <c:numCache>
                <c:formatCode>0.0\%</c:formatCode>
                <c:ptCount val="7"/>
                <c:pt idx="0">
                  <c:v>71.72</c:v>
                </c:pt>
                <c:pt idx="1">
                  <c:v>69.180000000000007</c:v>
                </c:pt>
                <c:pt idx="2">
                  <c:v>73.75</c:v>
                </c:pt>
                <c:pt idx="3">
                  <c:v>62.52</c:v>
                </c:pt>
                <c:pt idx="4">
                  <c:v>72.099999999999994</c:v>
                </c:pt>
                <c:pt idx="5">
                  <c:v>68.28</c:v>
                </c:pt>
                <c:pt idx="6">
                  <c:v>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C-415F-ADE5-C4F402940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549254"/>
        <c:axId val="73411122"/>
      </c:barChart>
      <c:catAx>
        <c:axId val="515492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11122"/>
        <c:crosses val="autoZero"/>
        <c:auto val="1"/>
        <c:lblAlgn val="ctr"/>
        <c:lblOffset val="100"/>
        <c:noMultiLvlLbl val="0"/>
      </c:catAx>
      <c:valAx>
        <c:axId val="734111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Efficiency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49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Process Cost by Department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Analysis'!$E$4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Analysis'!$A$5:$A$11</c:f>
              <c:strCache>
                <c:ptCount val="7"/>
                <c:pt idx="0">
                  <c:v>CX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 Analysis'!$E$5:$E$11</c:f>
              <c:numCache>
                <c:formatCode>#,##0</c:formatCode>
                <c:ptCount val="7"/>
                <c:pt idx="0">
                  <c:v>320496</c:v>
                </c:pt>
                <c:pt idx="1">
                  <c:v>1518345</c:v>
                </c:pt>
                <c:pt idx="2">
                  <c:v>559213</c:v>
                </c:pt>
                <c:pt idx="3">
                  <c:v>478405</c:v>
                </c:pt>
                <c:pt idx="4">
                  <c:v>254924</c:v>
                </c:pt>
                <c:pt idx="5">
                  <c:v>1385861</c:v>
                </c:pt>
                <c:pt idx="6">
                  <c:v>393207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0-4ACD-9A73-CC3634D29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82769"/>
        <c:axId val="64950838"/>
      </c:barChart>
      <c:catAx>
        <c:axId val="339827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950838"/>
        <c:crosses val="autoZero"/>
        <c:auto val="1"/>
        <c:lblAlgn val="ctr"/>
        <c:lblOffset val="100"/>
        <c:noMultiLvlLbl val="0"/>
      </c:catAx>
      <c:valAx>
        <c:axId val="649508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82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Actual vs Standard Cycle Time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Analysis'!$C$3</c:f>
              <c:strCache>
                <c:ptCount val="1"/>
                <c:pt idx="0">
                  <c:v>Avg Cycle Time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 Analysis'!$A$4:$A$18</c:f>
              <c:strCache>
                <c:ptCount val="15"/>
                <c:pt idx="0">
                  <c:v>Budget Approval</c:v>
                </c:pt>
                <c:pt idx="1">
                  <c:v>Contract Review</c:v>
                </c:pt>
                <c:pt idx="2">
                  <c:v>Customer Complaint Handling</c:v>
                </c:pt>
                <c:pt idx="3">
                  <c:v>Customer Onboarding</c:v>
                </c:pt>
                <c:pt idx="4">
                  <c:v>Data Reconciliation</c:v>
                </c:pt>
                <c:pt idx="5">
                  <c:v>Employee Onboarding</c:v>
                </c:pt>
                <c:pt idx="6">
                  <c:v>HR Recruitment</c:v>
                </c:pt>
                <c:pt idx="7">
                  <c:v>IT Support Ticket</c:v>
                </c:pt>
                <c:pt idx="8">
                  <c:v>Inventory Management</c:v>
                </c:pt>
                <c:pt idx="9">
                  <c:v>Invoice Processing</c:v>
                </c:pt>
                <c:pt idx="10">
                  <c:v>Order Fulfillment</c:v>
                </c:pt>
                <c:pt idx="11">
                  <c:v>Payroll Processing</c:v>
                </c:pt>
                <c:pt idx="12">
                  <c:v>Product Return Processing</c:v>
                </c:pt>
                <c:pt idx="13">
                  <c:v>Quality Inspection</c:v>
                </c:pt>
                <c:pt idx="14">
                  <c:v>Vendor Payment</c:v>
                </c:pt>
              </c:strCache>
            </c:strRef>
          </c:cat>
          <c:val>
            <c:numRef>
              <c:f>'Process Analysis'!$C$4:$C$18</c:f>
              <c:numCache>
                <c:formatCode>General</c:formatCode>
                <c:ptCount val="15"/>
                <c:pt idx="0">
                  <c:v>17.64</c:v>
                </c:pt>
                <c:pt idx="1">
                  <c:v>15.58</c:v>
                </c:pt>
                <c:pt idx="2">
                  <c:v>13.1</c:v>
                </c:pt>
                <c:pt idx="3">
                  <c:v>14.6</c:v>
                </c:pt>
                <c:pt idx="4">
                  <c:v>13.15</c:v>
                </c:pt>
                <c:pt idx="5">
                  <c:v>13.33</c:v>
                </c:pt>
                <c:pt idx="6">
                  <c:v>20.8</c:v>
                </c:pt>
                <c:pt idx="7">
                  <c:v>12.42</c:v>
                </c:pt>
                <c:pt idx="8">
                  <c:v>17.38</c:v>
                </c:pt>
                <c:pt idx="9">
                  <c:v>10.26</c:v>
                </c:pt>
                <c:pt idx="10">
                  <c:v>17.77</c:v>
                </c:pt>
                <c:pt idx="11">
                  <c:v>12.4</c:v>
                </c:pt>
                <c:pt idx="12">
                  <c:v>16.420000000000002</c:v>
                </c:pt>
                <c:pt idx="13">
                  <c:v>12.78</c:v>
                </c:pt>
                <c:pt idx="14">
                  <c:v>18.53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24-4520-9411-DC9B392657E5}"/>
            </c:ext>
          </c:extLst>
        </c:ser>
        <c:ser>
          <c:idx val="1"/>
          <c:order val="1"/>
          <c:tx>
            <c:strRef>
              <c:f>'Process Analysis'!$D$3</c:f>
              <c:strCache>
                <c:ptCount val="1"/>
                <c:pt idx="0">
                  <c:v>Std Cycle Time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 Analysis'!$A$4:$A$18</c:f>
              <c:strCache>
                <c:ptCount val="15"/>
                <c:pt idx="0">
                  <c:v>Budget Approval</c:v>
                </c:pt>
                <c:pt idx="1">
                  <c:v>Contract Review</c:v>
                </c:pt>
                <c:pt idx="2">
                  <c:v>Customer Complaint Handling</c:v>
                </c:pt>
                <c:pt idx="3">
                  <c:v>Customer Onboarding</c:v>
                </c:pt>
                <c:pt idx="4">
                  <c:v>Data Reconciliation</c:v>
                </c:pt>
                <c:pt idx="5">
                  <c:v>Employee Onboarding</c:v>
                </c:pt>
                <c:pt idx="6">
                  <c:v>HR Recruitment</c:v>
                </c:pt>
                <c:pt idx="7">
                  <c:v>IT Support Ticket</c:v>
                </c:pt>
                <c:pt idx="8">
                  <c:v>Inventory Management</c:v>
                </c:pt>
                <c:pt idx="9">
                  <c:v>Invoice Processing</c:v>
                </c:pt>
                <c:pt idx="10">
                  <c:v>Order Fulfillment</c:v>
                </c:pt>
                <c:pt idx="11">
                  <c:v>Payroll Processing</c:v>
                </c:pt>
                <c:pt idx="12">
                  <c:v>Product Return Processing</c:v>
                </c:pt>
                <c:pt idx="13">
                  <c:v>Quality Inspection</c:v>
                </c:pt>
                <c:pt idx="14">
                  <c:v>Vendor Payment</c:v>
                </c:pt>
              </c:strCache>
            </c:strRef>
          </c:cat>
          <c:val>
            <c:numRef>
              <c:f>'Process Analysis'!$D$4:$D$18</c:f>
              <c:numCache>
                <c:formatCode>General</c:formatCode>
                <c:ptCount val="15"/>
                <c:pt idx="0">
                  <c:v>10</c:v>
                </c:pt>
                <c:pt idx="1">
                  <c:v>11.17</c:v>
                </c:pt>
                <c:pt idx="2">
                  <c:v>8.89</c:v>
                </c:pt>
                <c:pt idx="3">
                  <c:v>11.1</c:v>
                </c:pt>
                <c:pt idx="4">
                  <c:v>8.75</c:v>
                </c:pt>
                <c:pt idx="5">
                  <c:v>8.2899999999999991</c:v>
                </c:pt>
                <c:pt idx="6">
                  <c:v>14</c:v>
                </c:pt>
                <c:pt idx="7">
                  <c:v>7.91</c:v>
                </c:pt>
                <c:pt idx="8">
                  <c:v>10.119999999999999</c:v>
                </c:pt>
                <c:pt idx="9">
                  <c:v>8.6199999999999992</c:v>
                </c:pt>
                <c:pt idx="10">
                  <c:v>10.67</c:v>
                </c:pt>
                <c:pt idx="11">
                  <c:v>9.5</c:v>
                </c:pt>
                <c:pt idx="12">
                  <c:v>11.75</c:v>
                </c:pt>
                <c:pt idx="13">
                  <c:v>9.1199999999999992</c:v>
                </c:pt>
                <c:pt idx="14">
                  <c:v>12.33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24-4520-9411-DC9B3926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197440"/>
        <c:axId val="49037019"/>
      </c:lineChart>
      <c:catAx>
        <c:axId val="6919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37019"/>
        <c:crosses val="autoZero"/>
        <c:auto val="1"/>
        <c:lblAlgn val="ctr"/>
        <c:lblOffset val="100"/>
        <c:noMultiLvlLbl val="0"/>
      </c:catAx>
      <c:valAx>
        <c:axId val="49037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97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Cost Distribution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'Cost Analysis'!$B$20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FE5-4DFC-89DB-014450DCAEA8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FE5-4DFC-89DB-014450DCAEA8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FE5-4DFC-89DB-014450DCAEA8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FE5-4DFC-89DB-014450DCAEA8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FE5-4DFC-89DB-014450DCAEA8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FE5-4DFC-89DB-014450DCAEA8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FE5-4DFC-89DB-014450DCAEA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FE5-4DFC-89DB-014450DCAEA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FE5-4DFC-89DB-014450DCAEA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FE5-4DFC-89DB-014450DCAEA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FE5-4DFC-89DB-014450DCAEA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FE5-4DFC-89DB-014450DCAEA8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FE5-4DFC-89DB-014450DCAEA8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1FE5-4DFC-89DB-014450DCAE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'Cost Analysis'!$A$21:$A$27</c:f>
              <c:strCache>
                <c:ptCount val="7"/>
                <c:pt idx="0">
                  <c:v>CX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'Cost Analysis'!$B$21:$B$27</c:f>
              <c:numCache>
                <c:formatCode>General</c:formatCode>
                <c:ptCount val="7"/>
                <c:pt idx="0">
                  <c:v>320496</c:v>
                </c:pt>
                <c:pt idx="1">
                  <c:v>1518345</c:v>
                </c:pt>
                <c:pt idx="2">
                  <c:v>559213</c:v>
                </c:pt>
                <c:pt idx="3">
                  <c:v>478405</c:v>
                </c:pt>
                <c:pt idx="4">
                  <c:v>254924</c:v>
                </c:pt>
                <c:pt idx="5">
                  <c:v>1385861</c:v>
                </c:pt>
                <c:pt idx="6">
                  <c:v>393207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FE5-4DFC-89DB-014450DCA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Improvement Opportunities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'Bottleneck Analysis'!$B$26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'Bottleneck Analysis'!$A$27:$A$36</c:f>
              <c:strCache>
                <c:ptCount val="10"/>
                <c:pt idx="0">
                  <c:v>Reassign resources</c:v>
                </c:pt>
                <c:pt idx="1">
                  <c:v>Improve training</c:v>
                </c:pt>
                <c:pt idx="2">
                  <c:v>Digitize paper forms</c:v>
                </c:pt>
                <c:pt idx="3">
                  <c:v>Implement RPA</c:v>
                </c:pt>
                <c:pt idx="4">
                  <c:v>Reduce approval layers</c:v>
                </c:pt>
                <c:pt idx="5">
                  <c:v>Automate manual steps</c:v>
                </c:pt>
                <c:pt idx="6">
                  <c:v>Streamline handoffs</c:v>
                </c:pt>
                <c:pt idx="7">
                  <c:v>Consolidate duplicate steps</c:v>
                </c:pt>
                <c:pt idx="8">
                  <c:v>None Required</c:v>
                </c:pt>
                <c:pt idx="9">
                  <c:v>Add SLA alerts</c:v>
                </c:pt>
              </c:strCache>
            </c:strRef>
          </c:cat>
          <c:val>
            <c:numRef>
              <c:f>'Bottleneck Analysis'!$B$27:$B$36</c:f>
              <c:numCache>
                <c:formatCode>General</c:formatCode>
                <c:ptCount val="10"/>
                <c:pt idx="0">
                  <c:v>20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E-483E-A160-A6E4F4B4E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69848"/>
        <c:axId val="4525292"/>
      </c:barChart>
      <c:catAx>
        <c:axId val="3466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5292"/>
        <c:crosses val="autoZero"/>
        <c:auto val="1"/>
        <c:lblAlgn val="ctr"/>
        <c:lblOffset val="100"/>
        <c:noMultiLvlLbl val="0"/>
      </c:catAx>
      <c:valAx>
        <c:axId val="45252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69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Error &amp; Rework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&amp; Rework'!$B$20</c:f>
              <c:strCache>
                <c:ptCount val="1"/>
                <c:pt idx="0">
                  <c:v>Avg Error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'Error &amp; Rework'!$A$21:$A$27</c:f>
              <c:strCache>
                <c:ptCount val="7"/>
                <c:pt idx="0">
                  <c:v>CX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'Error &amp; Rework'!$B$21:$B$27</c:f>
              <c:numCache>
                <c:formatCode>General</c:formatCode>
                <c:ptCount val="7"/>
                <c:pt idx="0">
                  <c:v>9.57</c:v>
                </c:pt>
                <c:pt idx="1">
                  <c:v>8.42</c:v>
                </c:pt>
                <c:pt idx="2">
                  <c:v>6.05</c:v>
                </c:pt>
                <c:pt idx="3">
                  <c:v>7.56</c:v>
                </c:pt>
                <c:pt idx="4">
                  <c:v>7.7</c:v>
                </c:pt>
                <c:pt idx="5">
                  <c:v>8.1199999999999992</c:v>
                </c:pt>
                <c:pt idx="6">
                  <c:v>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C-46B7-93E9-81B73B18E27E}"/>
            </c:ext>
          </c:extLst>
        </c:ser>
        <c:ser>
          <c:idx val="1"/>
          <c:order val="1"/>
          <c:tx>
            <c:strRef>
              <c:f>'Error &amp; Rework'!$C$20</c:f>
              <c:strCache>
                <c:ptCount val="1"/>
                <c:pt idx="0">
                  <c:v>Avg Rework Rate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'Error &amp; Rework'!$A$21:$A$27</c:f>
              <c:strCache>
                <c:ptCount val="7"/>
                <c:pt idx="0">
                  <c:v>CX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'Error &amp; Rework'!$C$21:$C$27</c:f>
              <c:numCache>
                <c:formatCode>General</c:formatCode>
                <c:ptCount val="7"/>
                <c:pt idx="0">
                  <c:v>6.5</c:v>
                </c:pt>
                <c:pt idx="1">
                  <c:v>4.18</c:v>
                </c:pt>
                <c:pt idx="2">
                  <c:v>3.44</c:v>
                </c:pt>
                <c:pt idx="3">
                  <c:v>3.16</c:v>
                </c:pt>
                <c:pt idx="4">
                  <c:v>2.97</c:v>
                </c:pt>
                <c:pt idx="5">
                  <c:v>4.47</c:v>
                </c:pt>
                <c:pt idx="6">
                  <c:v>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C-46B7-93E9-81B73B18E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6"/>
        <c:axId val="3655837"/>
      </c:barChart>
      <c:catAx>
        <c:axId val="1629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5837"/>
        <c:crosses val="autoZero"/>
        <c:auto val="1"/>
        <c:lblAlgn val="ctr"/>
        <c:lblOffset val="100"/>
        <c:noMultiLvlLbl val="0"/>
      </c:catAx>
      <c:valAx>
        <c:axId val="36558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2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518760</xdr:colOff>
      <xdr:row>37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13</xdr:row>
      <xdr:rowOff>0</xdr:rowOff>
    </xdr:from>
    <xdr:to>
      <xdr:col>15</xdr:col>
      <xdr:colOff>608400</xdr:colOff>
      <xdr:row>37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10</xdr:col>
      <xdr:colOff>141120</xdr:colOff>
      <xdr:row>46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17</xdr:col>
      <xdr:colOff>364680</xdr:colOff>
      <xdr:row>26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24</xdr:row>
      <xdr:rowOff>76200</xdr:rowOff>
    </xdr:from>
    <xdr:to>
      <xdr:col>13</xdr:col>
      <xdr:colOff>188880</xdr:colOff>
      <xdr:row>51</xdr:row>
      <xdr:rowOff>162960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20</xdr:col>
      <xdr:colOff>581760</xdr:colOff>
      <xdr:row>24</xdr:row>
      <xdr:rowOff>107640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8" customWidth="1"/>
    <col min="3" max="3" width="14" customWidth="1"/>
    <col min="4" max="4" width="18" customWidth="1"/>
    <col min="5" max="6" width="13" customWidth="1"/>
    <col min="7" max="7" width="14" customWidth="1"/>
    <col min="8" max="8" width="15" customWidth="1"/>
    <col min="9" max="9" width="14" customWidth="1"/>
    <col min="10" max="10" width="11" customWidth="1"/>
    <col min="11" max="11" width="14" customWidth="1"/>
    <col min="12" max="12" width="12" customWidth="1"/>
    <col min="13" max="13" width="10" customWidth="1"/>
    <col min="14" max="14" width="11" customWidth="1"/>
    <col min="15" max="16" width="16" customWidth="1"/>
    <col min="17" max="18" width="12" customWidth="1"/>
    <col min="19" max="19" width="13" customWidth="1"/>
    <col min="20" max="20" width="22" customWidth="1"/>
    <col min="21" max="21" width="13" customWidth="1"/>
    <col min="22" max="22" width="11" customWidth="1"/>
    <col min="23" max="23" width="12" customWidth="1"/>
    <col min="24" max="24" width="16" customWidth="1"/>
    <col min="25" max="25" width="14" customWidth="1"/>
    <col min="26" max="26" width="12" customWidth="1"/>
  </cols>
  <sheetData>
    <row r="1" spans="1:26" ht="39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 x14ac:dyDescent="0.3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30</v>
      </c>
      <c r="G2" s="9">
        <v>7.2</v>
      </c>
      <c r="H2" s="9">
        <v>4</v>
      </c>
      <c r="I2" s="9">
        <v>4</v>
      </c>
      <c r="J2" s="9">
        <v>82</v>
      </c>
      <c r="K2" s="9">
        <v>53</v>
      </c>
      <c r="L2" s="9">
        <v>64.599999999999994</v>
      </c>
      <c r="M2" s="9">
        <v>11</v>
      </c>
      <c r="N2" s="9">
        <v>1</v>
      </c>
      <c r="O2" s="9">
        <v>55752</v>
      </c>
      <c r="P2" s="9">
        <v>8</v>
      </c>
      <c r="Q2" s="9">
        <v>72</v>
      </c>
      <c r="R2" s="9">
        <v>82</v>
      </c>
      <c r="S2" s="10" t="s">
        <v>31</v>
      </c>
      <c r="T2" s="9" t="s">
        <v>32</v>
      </c>
      <c r="U2" s="9">
        <v>55.6</v>
      </c>
      <c r="V2" s="9">
        <v>13.4</v>
      </c>
      <c r="W2" s="9">
        <v>1.2</v>
      </c>
      <c r="X2" s="9">
        <v>64.599999999999994</v>
      </c>
      <c r="Y2" s="9">
        <v>679.9</v>
      </c>
      <c r="Z2" s="9" t="b">
        <f>FALSE()</f>
        <v>0</v>
      </c>
    </row>
    <row r="3" spans="1:26" x14ac:dyDescent="0.3">
      <c r="A3" s="11" t="s">
        <v>33</v>
      </c>
      <c r="B3" s="11" t="s">
        <v>34</v>
      </c>
      <c r="C3" s="11" t="s">
        <v>28</v>
      </c>
      <c r="D3" s="11" t="s">
        <v>35</v>
      </c>
      <c r="E3" s="11" t="s">
        <v>36</v>
      </c>
      <c r="F3" s="11" t="s">
        <v>36</v>
      </c>
      <c r="G3" s="11">
        <v>9.6</v>
      </c>
      <c r="H3" s="11">
        <v>13</v>
      </c>
      <c r="I3" s="11">
        <v>6</v>
      </c>
      <c r="J3" s="11">
        <v>70</v>
      </c>
      <c r="K3" s="11">
        <v>61</v>
      </c>
      <c r="L3" s="11">
        <v>87.1</v>
      </c>
      <c r="M3" s="11">
        <v>8</v>
      </c>
      <c r="N3" s="11">
        <v>6</v>
      </c>
      <c r="O3" s="11">
        <v>21533</v>
      </c>
      <c r="P3" s="11">
        <v>9</v>
      </c>
      <c r="Q3" s="11">
        <v>78</v>
      </c>
      <c r="R3" s="11">
        <v>96</v>
      </c>
      <c r="S3" s="12" t="s">
        <v>37</v>
      </c>
      <c r="T3" s="11" t="s">
        <v>38</v>
      </c>
      <c r="U3" s="11">
        <v>100</v>
      </c>
      <c r="V3" s="11">
        <v>11.4</v>
      </c>
      <c r="W3" s="11">
        <v>8.6</v>
      </c>
      <c r="X3" s="11">
        <v>87.1</v>
      </c>
      <c r="Y3" s="11">
        <v>307.61</v>
      </c>
      <c r="Z3" s="11" t="b">
        <f>FALSE()</f>
        <v>0</v>
      </c>
    </row>
    <row r="4" spans="1:26" x14ac:dyDescent="0.3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43</v>
      </c>
      <c r="G4" s="9">
        <v>15</v>
      </c>
      <c r="H4" s="9">
        <v>7</v>
      </c>
      <c r="I4" s="9">
        <v>2</v>
      </c>
      <c r="J4" s="9">
        <v>106</v>
      </c>
      <c r="K4" s="9">
        <v>63</v>
      </c>
      <c r="L4" s="9">
        <v>59.4</v>
      </c>
      <c r="M4" s="9">
        <v>12</v>
      </c>
      <c r="N4" s="9">
        <v>1</v>
      </c>
      <c r="O4" s="9">
        <v>31923</v>
      </c>
      <c r="P4" s="9">
        <v>5</v>
      </c>
      <c r="Q4" s="9">
        <v>89</v>
      </c>
      <c r="R4" s="9">
        <v>61</v>
      </c>
      <c r="S4" s="12" t="s">
        <v>37</v>
      </c>
      <c r="T4" s="9" t="s">
        <v>44</v>
      </c>
      <c r="U4" s="9">
        <v>46.7</v>
      </c>
      <c r="V4" s="9">
        <v>11.3</v>
      </c>
      <c r="W4" s="9">
        <v>0.9</v>
      </c>
      <c r="X4" s="9">
        <v>59.4</v>
      </c>
      <c r="Y4" s="9">
        <v>301.16000000000003</v>
      </c>
      <c r="Z4" s="9" t="b">
        <f>TRUE()</f>
        <v>1</v>
      </c>
    </row>
    <row r="5" spans="1:26" x14ac:dyDescent="0.3">
      <c r="A5" s="11" t="s">
        <v>45</v>
      </c>
      <c r="B5" s="11" t="s">
        <v>46</v>
      </c>
      <c r="C5" s="11" t="s">
        <v>47</v>
      </c>
      <c r="D5" s="11" t="s">
        <v>29</v>
      </c>
      <c r="E5" s="11" t="s">
        <v>48</v>
      </c>
      <c r="F5" s="11" t="s">
        <v>48</v>
      </c>
      <c r="G5" s="11">
        <v>7.6</v>
      </c>
      <c r="H5" s="11">
        <v>5</v>
      </c>
      <c r="I5" s="11">
        <v>4</v>
      </c>
      <c r="J5" s="11">
        <v>180</v>
      </c>
      <c r="K5" s="11">
        <v>149</v>
      </c>
      <c r="L5" s="11">
        <v>82.8</v>
      </c>
      <c r="M5" s="11">
        <v>27</v>
      </c>
      <c r="N5" s="11">
        <v>11</v>
      </c>
      <c r="O5" s="11">
        <v>48301</v>
      </c>
      <c r="P5" s="11">
        <v>1</v>
      </c>
      <c r="Q5" s="11">
        <v>71</v>
      </c>
      <c r="R5" s="11">
        <v>87</v>
      </c>
      <c r="S5" s="10" t="s">
        <v>31</v>
      </c>
      <c r="T5" s="11" t="s">
        <v>49</v>
      </c>
      <c r="U5" s="11">
        <v>65.8</v>
      </c>
      <c r="V5" s="11">
        <v>15</v>
      </c>
      <c r="W5" s="11">
        <v>6.1</v>
      </c>
      <c r="X5" s="11">
        <v>82.8</v>
      </c>
      <c r="Y5" s="11">
        <v>268.33999999999997</v>
      </c>
      <c r="Z5" s="11" t="b">
        <f>FALSE()</f>
        <v>0</v>
      </c>
    </row>
    <row r="6" spans="1:26" x14ac:dyDescent="0.3">
      <c r="A6" s="9" t="s">
        <v>50</v>
      </c>
      <c r="B6" s="9" t="s">
        <v>51</v>
      </c>
      <c r="C6" s="9" t="s">
        <v>28</v>
      </c>
      <c r="D6" s="9" t="s">
        <v>52</v>
      </c>
      <c r="E6" s="9" t="s">
        <v>53</v>
      </c>
      <c r="F6" s="9" t="s">
        <v>53</v>
      </c>
      <c r="G6" s="9">
        <v>11.2</v>
      </c>
      <c r="H6" s="9">
        <v>10</v>
      </c>
      <c r="I6" s="9">
        <v>3</v>
      </c>
      <c r="J6" s="9">
        <v>182</v>
      </c>
      <c r="K6" s="9">
        <v>168</v>
      </c>
      <c r="L6" s="9">
        <v>92.3</v>
      </c>
      <c r="M6" s="9">
        <v>5</v>
      </c>
      <c r="N6" s="9">
        <v>2</v>
      </c>
      <c r="O6" s="9">
        <v>31645</v>
      </c>
      <c r="P6" s="9">
        <v>10</v>
      </c>
      <c r="Q6" s="9">
        <v>78</v>
      </c>
      <c r="R6" s="9">
        <v>89</v>
      </c>
      <c r="S6" s="13" t="s">
        <v>54</v>
      </c>
      <c r="T6" s="9" t="s">
        <v>55</v>
      </c>
      <c r="U6" s="9">
        <v>89.3</v>
      </c>
      <c r="V6" s="9">
        <v>2.7</v>
      </c>
      <c r="W6" s="9">
        <v>1.1000000000000001</v>
      </c>
      <c r="X6" s="9">
        <v>92.3</v>
      </c>
      <c r="Y6" s="9">
        <v>173.87</v>
      </c>
      <c r="Z6" s="9" t="b">
        <f>FALSE()</f>
        <v>0</v>
      </c>
    </row>
    <row r="7" spans="1:26" x14ac:dyDescent="0.3">
      <c r="A7" s="11" t="s">
        <v>56</v>
      </c>
      <c r="B7" s="11" t="s">
        <v>57</v>
      </c>
      <c r="C7" s="11" t="s">
        <v>47</v>
      </c>
      <c r="D7" s="11" t="s">
        <v>58</v>
      </c>
      <c r="E7" s="11" t="s">
        <v>59</v>
      </c>
      <c r="F7" s="11" t="s">
        <v>59</v>
      </c>
      <c r="G7" s="11">
        <v>8.4</v>
      </c>
      <c r="H7" s="11">
        <v>6</v>
      </c>
      <c r="I7" s="11">
        <v>7</v>
      </c>
      <c r="J7" s="11">
        <v>89</v>
      </c>
      <c r="K7" s="11">
        <v>88</v>
      </c>
      <c r="L7" s="11">
        <v>98.9</v>
      </c>
      <c r="M7" s="11">
        <v>10</v>
      </c>
      <c r="N7" s="11">
        <v>8</v>
      </c>
      <c r="O7" s="11">
        <v>21471</v>
      </c>
      <c r="P7" s="11">
        <v>5</v>
      </c>
      <c r="Q7" s="11">
        <v>94</v>
      </c>
      <c r="R7" s="11">
        <v>94</v>
      </c>
      <c r="S7" s="10" t="s">
        <v>31</v>
      </c>
      <c r="T7" s="11" t="s">
        <v>32</v>
      </c>
      <c r="U7" s="11">
        <v>71.400000000000006</v>
      </c>
      <c r="V7" s="11">
        <v>11.2</v>
      </c>
      <c r="W7" s="11">
        <v>9</v>
      </c>
      <c r="X7" s="11">
        <v>98.9</v>
      </c>
      <c r="Y7" s="11">
        <v>241.25</v>
      </c>
      <c r="Z7" s="11" t="b">
        <f>FALSE()</f>
        <v>0</v>
      </c>
    </row>
    <row r="8" spans="1:26" x14ac:dyDescent="0.3">
      <c r="A8" s="9" t="s">
        <v>60</v>
      </c>
      <c r="B8" s="9" t="s">
        <v>40</v>
      </c>
      <c r="C8" s="9" t="s">
        <v>41</v>
      </c>
      <c r="D8" s="9" t="s">
        <v>61</v>
      </c>
      <c r="E8" s="9" t="s">
        <v>62</v>
      </c>
      <c r="F8" s="9" t="s">
        <v>62</v>
      </c>
      <c r="G8" s="9">
        <v>14.5</v>
      </c>
      <c r="H8" s="9">
        <v>7</v>
      </c>
      <c r="I8" s="9">
        <v>5</v>
      </c>
      <c r="J8" s="9">
        <v>165</v>
      </c>
      <c r="K8" s="9">
        <v>155</v>
      </c>
      <c r="L8" s="9">
        <v>93.9</v>
      </c>
      <c r="M8" s="9">
        <v>10</v>
      </c>
      <c r="N8" s="9">
        <v>3</v>
      </c>
      <c r="O8" s="9">
        <v>54158</v>
      </c>
      <c r="P8" s="9">
        <v>6</v>
      </c>
      <c r="Q8" s="9">
        <v>90</v>
      </c>
      <c r="R8" s="9">
        <v>74</v>
      </c>
      <c r="S8" s="10" t="s">
        <v>31</v>
      </c>
      <c r="T8" s="9" t="s">
        <v>38</v>
      </c>
      <c r="U8" s="9">
        <v>48.3</v>
      </c>
      <c r="V8" s="9">
        <v>6.1</v>
      </c>
      <c r="W8" s="9">
        <v>1.8</v>
      </c>
      <c r="X8" s="9">
        <v>93.9</v>
      </c>
      <c r="Y8" s="9">
        <v>328.23</v>
      </c>
      <c r="Z8" s="9" t="b">
        <f>TRUE()</f>
        <v>1</v>
      </c>
    </row>
    <row r="9" spans="1:26" x14ac:dyDescent="0.3">
      <c r="A9" s="11" t="s">
        <v>63</v>
      </c>
      <c r="B9" s="11" t="s">
        <v>64</v>
      </c>
      <c r="C9" s="11" t="s">
        <v>65</v>
      </c>
      <c r="D9" s="11" t="s">
        <v>52</v>
      </c>
      <c r="E9" s="11" t="s">
        <v>66</v>
      </c>
      <c r="F9" s="11" t="s">
        <v>66</v>
      </c>
      <c r="G9" s="11">
        <v>20.5</v>
      </c>
      <c r="H9" s="11">
        <v>10</v>
      </c>
      <c r="I9" s="11">
        <v>2</v>
      </c>
      <c r="J9" s="11">
        <v>122</v>
      </c>
      <c r="K9" s="11">
        <v>86</v>
      </c>
      <c r="L9" s="11">
        <v>70.5</v>
      </c>
      <c r="M9" s="11">
        <v>4</v>
      </c>
      <c r="N9" s="11">
        <v>4</v>
      </c>
      <c r="O9" s="11">
        <v>42014</v>
      </c>
      <c r="P9" s="11">
        <v>0</v>
      </c>
      <c r="Q9" s="11">
        <v>73</v>
      </c>
      <c r="R9" s="11">
        <v>54</v>
      </c>
      <c r="S9" s="14" t="s">
        <v>67</v>
      </c>
      <c r="T9" s="11" t="s">
        <v>68</v>
      </c>
      <c r="U9" s="11">
        <v>48.8</v>
      </c>
      <c r="V9" s="11">
        <v>3.3</v>
      </c>
      <c r="W9" s="11">
        <v>3.3</v>
      </c>
      <c r="X9" s="11">
        <v>70.5</v>
      </c>
      <c r="Y9" s="11">
        <v>344.38</v>
      </c>
      <c r="Z9" s="11" t="b">
        <f>TRUE()</f>
        <v>1</v>
      </c>
    </row>
    <row r="10" spans="1:26" x14ac:dyDescent="0.3">
      <c r="A10" s="9" t="s">
        <v>69</v>
      </c>
      <c r="B10" s="9" t="s">
        <v>70</v>
      </c>
      <c r="C10" s="9" t="s">
        <v>71</v>
      </c>
      <c r="D10" s="9" t="s">
        <v>29</v>
      </c>
      <c r="E10" s="9" t="s">
        <v>72</v>
      </c>
      <c r="F10" s="9" t="s">
        <v>73</v>
      </c>
      <c r="G10" s="9">
        <v>28.5</v>
      </c>
      <c r="H10" s="9">
        <v>13</v>
      </c>
      <c r="I10" s="9">
        <v>5</v>
      </c>
      <c r="J10" s="9">
        <v>155</v>
      </c>
      <c r="K10" s="9">
        <v>102</v>
      </c>
      <c r="L10" s="9">
        <v>65.8</v>
      </c>
      <c r="M10" s="9">
        <v>17</v>
      </c>
      <c r="N10" s="9">
        <v>0</v>
      </c>
      <c r="O10" s="9">
        <v>56021</v>
      </c>
      <c r="P10" s="9">
        <v>1</v>
      </c>
      <c r="Q10" s="9">
        <v>91</v>
      </c>
      <c r="R10" s="9">
        <v>79</v>
      </c>
      <c r="S10" s="12" t="s">
        <v>37</v>
      </c>
      <c r="T10" s="9" t="s">
        <v>74</v>
      </c>
      <c r="U10" s="9">
        <v>45.6</v>
      </c>
      <c r="V10" s="9">
        <v>11</v>
      </c>
      <c r="W10" s="9">
        <v>0</v>
      </c>
      <c r="X10" s="9">
        <v>65.8</v>
      </c>
      <c r="Y10" s="9">
        <v>361.43</v>
      </c>
      <c r="Z10" s="9" t="b">
        <f>TRUE()</f>
        <v>1</v>
      </c>
    </row>
    <row r="11" spans="1:26" x14ac:dyDescent="0.3">
      <c r="A11" s="11" t="s">
        <v>75</v>
      </c>
      <c r="B11" s="11" t="s">
        <v>70</v>
      </c>
      <c r="C11" s="11" t="s">
        <v>71</v>
      </c>
      <c r="D11" s="11" t="s">
        <v>52</v>
      </c>
      <c r="E11" s="11" t="s">
        <v>76</v>
      </c>
      <c r="F11" s="11" t="s">
        <v>76</v>
      </c>
      <c r="G11" s="11">
        <v>7.8</v>
      </c>
      <c r="H11" s="11">
        <v>11</v>
      </c>
      <c r="I11" s="11">
        <v>4</v>
      </c>
      <c r="J11" s="11">
        <v>87</v>
      </c>
      <c r="K11" s="11">
        <v>85</v>
      </c>
      <c r="L11" s="11">
        <v>97.7</v>
      </c>
      <c r="M11" s="11">
        <v>12</v>
      </c>
      <c r="N11" s="11">
        <v>2</v>
      </c>
      <c r="O11" s="11">
        <v>43076</v>
      </c>
      <c r="P11" s="11">
        <v>1</v>
      </c>
      <c r="Q11" s="11">
        <v>90</v>
      </c>
      <c r="R11" s="11">
        <v>64</v>
      </c>
      <c r="S11" s="12" t="s">
        <v>37</v>
      </c>
      <c r="T11" s="11" t="s">
        <v>77</v>
      </c>
      <c r="U11" s="11">
        <v>100</v>
      </c>
      <c r="V11" s="11">
        <v>13.8</v>
      </c>
      <c r="W11" s="11">
        <v>2.2999999999999998</v>
      </c>
      <c r="X11" s="11">
        <v>97.7</v>
      </c>
      <c r="Y11" s="11">
        <v>495.13</v>
      </c>
      <c r="Z11" s="11" t="b">
        <f>TRUE()</f>
        <v>1</v>
      </c>
    </row>
    <row r="12" spans="1:26" x14ac:dyDescent="0.3">
      <c r="A12" s="9" t="s">
        <v>78</v>
      </c>
      <c r="B12" s="9" t="s">
        <v>79</v>
      </c>
      <c r="C12" s="9" t="s">
        <v>80</v>
      </c>
      <c r="D12" s="9" t="s">
        <v>81</v>
      </c>
      <c r="E12" s="9" t="s">
        <v>82</v>
      </c>
      <c r="F12" s="9" t="s">
        <v>82</v>
      </c>
      <c r="G12" s="9">
        <v>15.1</v>
      </c>
      <c r="H12" s="9">
        <v>16</v>
      </c>
      <c r="I12" s="9">
        <v>4</v>
      </c>
      <c r="J12" s="9">
        <v>155</v>
      </c>
      <c r="K12" s="9">
        <v>149</v>
      </c>
      <c r="L12" s="9">
        <v>96.1</v>
      </c>
      <c r="M12" s="9">
        <v>19</v>
      </c>
      <c r="N12" s="9">
        <v>10</v>
      </c>
      <c r="O12" s="9">
        <v>41645</v>
      </c>
      <c r="P12" s="9">
        <v>1</v>
      </c>
      <c r="Q12" s="9">
        <v>81</v>
      </c>
      <c r="R12" s="9">
        <v>98</v>
      </c>
      <c r="S12" s="12" t="s">
        <v>37</v>
      </c>
      <c r="T12" s="9" t="s">
        <v>83</v>
      </c>
      <c r="U12" s="9">
        <v>100</v>
      </c>
      <c r="V12" s="9">
        <v>12.3</v>
      </c>
      <c r="W12" s="9">
        <v>6.5</v>
      </c>
      <c r="X12" s="9">
        <v>96.1</v>
      </c>
      <c r="Y12" s="9">
        <v>268.68</v>
      </c>
      <c r="Z12" s="9" t="b">
        <f>FALSE()</f>
        <v>0</v>
      </c>
    </row>
    <row r="13" spans="1:26" x14ac:dyDescent="0.3">
      <c r="A13" s="11" t="s">
        <v>84</v>
      </c>
      <c r="B13" s="11" t="s">
        <v>46</v>
      </c>
      <c r="C13" s="11" t="s">
        <v>47</v>
      </c>
      <c r="D13" s="11" t="s">
        <v>35</v>
      </c>
      <c r="E13" s="11" t="s">
        <v>85</v>
      </c>
      <c r="F13" s="11" t="s">
        <v>85</v>
      </c>
      <c r="G13" s="11">
        <v>4.0999999999999996</v>
      </c>
      <c r="H13" s="11">
        <v>5</v>
      </c>
      <c r="I13" s="11">
        <v>4</v>
      </c>
      <c r="J13" s="11">
        <v>144</v>
      </c>
      <c r="K13" s="11">
        <v>132</v>
      </c>
      <c r="L13" s="11">
        <v>91.7</v>
      </c>
      <c r="M13" s="11">
        <v>17</v>
      </c>
      <c r="N13" s="11">
        <v>4</v>
      </c>
      <c r="O13" s="11">
        <v>14629</v>
      </c>
      <c r="P13" s="11">
        <v>7</v>
      </c>
      <c r="Q13" s="11">
        <v>87</v>
      </c>
      <c r="R13" s="11">
        <v>55</v>
      </c>
      <c r="S13" s="10" t="s">
        <v>31</v>
      </c>
      <c r="T13" s="11" t="s">
        <v>86</v>
      </c>
      <c r="U13" s="11">
        <v>100</v>
      </c>
      <c r="V13" s="11">
        <v>11.8</v>
      </c>
      <c r="W13" s="11">
        <v>2.8</v>
      </c>
      <c r="X13" s="11">
        <v>91.7</v>
      </c>
      <c r="Y13" s="11">
        <v>101.59</v>
      </c>
      <c r="Z13" s="11" t="b">
        <f>TRUE()</f>
        <v>1</v>
      </c>
    </row>
    <row r="14" spans="1:26" x14ac:dyDescent="0.3">
      <c r="A14" s="9" t="s">
        <v>87</v>
      </c>
      <c r="B14" s="9" t="s">
        <v>46</v>
      </c>
      <c r="C14" s="9" t="s">
        <v>47</v>
      </c>
      <c r="D14" s="9" t="s">
        <v>29</v>
      </c>
      <c r="E14" s="9" t="s">
        <v>88</v>
      </c>
      <c r="F14" s="9" t="s">
        <v>89</v>
      </c>
      <c r="G14" s="9">
        <v>28.7</v>
      </c>
      <c r="H14" s="9">
        <v>16</v>
      </c>
      <c r="I14" s="9">
        <v>6</v>
      </c>
      <c r="J14" s="9">
        <v>71</v>
      </c>
      <c r="K14" s="9">
        <v>61</v>
      </c>
      <c r="L14" s="9">
        <v>85.9</v>
      </c>
      <c r="M14" s="9">
        <v>6</v>
      </c>
      <c r="N14" s="9">
        <v>5</v>
      </c>
      <c r="O14" s="9">
        <v>53741</v>
      </c>
      <c r="P14" s="9">
        <v>7</v>
      </c>
      <c r="Q14" s="9">
        <v>86</v>
      </c>
      <c r="R14" s="9">
        <v>73</v>
      </c>
      <c r="S14" s="10" t="s">
        <v>31</v>
      </c>
      <c r="T14" s="9" t="s">
        <v>83</v>
      </c>
      <c r="U14" s="9">
        <v>55.7</v>
      </c>
      <c r="V14" s="9">
        <v>8.5</v>
      </c>
      <c r="W14" s="9">
        <v>7</v>
      </c>
      <c r="X14" s="9">
        <v>85.9</v>
      </c>
      <c r="Y14" s="9">
        <v>756.92</v>
      </c>
      <c r="Z14" s="9" t="b">
        <f>TRUE()</f>
        <v>1</v>
      </c>
    </row>
    <row r="15" spans="1:26" x14ac:dyDescent="0.3">
      <c r="A15" s="11" t="s">
        <v>90</v>
      </c>
      <c r="B15" s="11" t="s">
        <v>91</v>
      </c>
      <c r="C15" s="11" t="s">
        <v>71</v>
      </c>
      <c r="D15" s="11" t="s">
        <v>61</v>
      </c>
      <c r="E15" s="11" t="s">
        <v>92</v>
      </c>
      <c r="F15" s="11" t="s">
        <v>92</v>
      </c>
      <c r="G15" s="11">
        <v>12.5</v>
      </c>
      <c r="H15" s="11">
        <v>12</v>
      </c>
      <c r="I15" s="11">
        <v>5</v>
      </c>
      <c r="J15" s="11">
        <v>76</v>
      </c>
      <c r="K15" s="11">
        <v>42</v>
      </c>
      <c r="L15" s="11">
        <v>55.3</v>
      </c>
      <c r="M15" s="11">
        <v>11</v>
      </c>
      <c r="N15" s="11">
        <v>10</v>
      </c>
      <c r="O15" s="11">
        <v>9416</v>
      </c>
      <c r="P15" s="11">
        <v>1</v>
      </c>
      <c r="Q15" s="11">
        <v>71</v>
      </c>
      <c r="R15" s="11">
        <v>100</v>
      </c>
      <c r="S15" s="10" t="s">
        <v>31</v>
      </c>
      <c r="T15" s="11" t="s">
        <v>77</v>
      </c>
      <c r="U15" s="11">
        <v>96</v>
      </c>
      <c r="V15" s="11">
        <v>14.5</v>
      </c>
      <c r="W15" s="11">
        <v>13.2</v>
      </c>
      <c r="X15" s="11">
        <v>55.3</v>
      </c>
      <c r="Y15" s="11">
        <v>123.89</v>
      </c>
      <c r="Z15" s="11" t="b">
        <f>FALSE()</f>
        <v>0</v>
      </c>
    </row>
    <row r="16" spans="1:26" x14ac:dyDescent="0.3">
      <c r="A16" s="9" t="s">
        <v>93</v>
      </c>
      <c r="B16" s="9" t="s">
        <v>27</v>
      </c>
      <c r="C16" s="9" t="s">
        <v>28</v>
      </c>
      <c r="D16" s="9" t="s">
        <v>35</v>
      </c>
      <c r="E16" s="9" t="s">
        <v>94</v>
      </c>
      <c r="F16" s="9" t="s">
        <v>94</v>
      </c>
      <c r="G16" s="9">
        <v>10.6</v>
      </c>
      <c r="H16" s="9">
        <v>7</v>
      </c>
      <c r="I16" s="9">
        <v>7</v>
      </c>
      <c r="J16" s="9">
        <v>166</v>
      </c>
      <c r="K16" s="9">
        <v>134</v>
      </c>
      <c r="L16" s="9">
        <v>80.7</v>
      </c>
      <c r="M16" s="9">
        <v>7</v>
      </c>
      <c r="N16" s="9">
        <v>7</v>
      </c>
      <c r="O16" s="9">
        <v>65562</v>
      </c>
      <c r="P16" s="9">
        <v>3</v>
      </c>
      <c r="Q16" s="9">
        <v>73</v>
      </c>
      <c r="R16" s="9">
        <v>51</v>
      </c>
      <c r="S16" s="14" t="s">
        <v>67</v>
      </c>
      <c r="T16" s="9" t="s">
        <v>74</v>
      </c>
      <c r="U16" s="9">
        <v>66</v>
      </c>
      <c r="V16" s="9">
        <v>4.2</v>
      </c>
      <c r="W16" s="9">
        <v>4.2</v>
      </c>
      <c r="X16" s="9">
        <v>80.7</v>
      </c>
      <c r="Y16" s="9">
        <v>394.95</v>
      </c>
      <c r="Z16" s="9" t="b">
        <f>TRUE()</f>
        <v>1</v>
      </c>
    </row>
    <row r="17" spans="1:26" x14ac:dyDescent="0.3">
      <c r="A17" s="11" t="s">
        <v>95</v>
      </c>
      <c r="B17" s="11" t="s">
        <v>96</v>
      </c>
      <c r="C17" s="11" t="s">
        <v>71</v>
      </c>
      <c r="D17" s="11" t="s">
        <v>97</v>
      </c>
      <c r="E17" s="11" t="s">
        <v>98</v>
      </c>
      <c r="F17" s="11" t="s">
        <v>98</v>
      </c>
      <c r="G17" s="11">
        <v>23.5</v>
      </c>
      <c r="H17" s="11">
        <v>14</v>
      </c>
      <c r="I17" s="11">
        <v>7</v>
      </c>
      <c r="J17" s="11">
        <v>185</v>
      </c>
      <c r="K17" s="11">
        <v>109</v>
      </c>
      <c r="L17" s="11">
        <v>58.9</v>
      </c>
      <c r="M17" s="11">
        <v>12</v>
      </c>
      <c r="N17" s="11">
        <v>11</v>
      </c>
      <c r="O17" s="11">
        <v>30448</v>
      </c>
      <c r="P17" s="11">
        <v>1</v>
      </c>
      <c r="Q17" s="11">
        <v>77</v>
      </c>
      <c r="R17" s="11">
        <v>57</v>
      </c>
      <c r="S17" s="10" t="s">
        <v>31</v>
      </c>
      <c r="T17" s="11" t="s">
        <v>44</v>
      </c>
      <c r="U17" s="11">
        <v>59.6</v>
      </c>
      <c r="V17" s="11">
        <v>6.5</v>
      </c>
      <c r="W17" s="11">
        <v>5.9</v>
      </c>
      <c r="X17" s="11">
        <v>58.9</v>
      </c>
      <c r="Y17" s="11">
        <v>164.58</v>
      </c>
      <c r="Z17" s="11" t="b">
        <f>TRUE()</f>
        <v>1</v>
      </c>
    </row>
    <row r="18" spans="1:26" x14ac:dyDescent="0.3">
      <c r="A18" s="9" t="s">
        <v>99</v>
      </c>
      <c r="B18" s="9" t="s">
        <v>79</v>
      </c>
      <c r="C18" s="9" t="s">
        <v>80</v>
      </c>
      <c r="D18" s="9" t="s">
        <v>97</v>
      </c>
      <c r="E18" s="9" t="s">
        <v>100</v>
      </c>
      <c r="F18" s="9" t="s">
        <v>100</v>
      </c>
      <c r="G18" s="9">
        <v>11.8</v>
      </c>
      <c r="H18" s="9">
        <v>11</v>
      </c>
      <c r="I18" s="9">
        <v>7</v>
      </c>
      <c r="J18" s="9">
        <v>39</v>
      </c>
      <c r="K18" s="9">
        <v>29</v>
      </c>
      <c r="L18" s="9">
        <v>74.400000000000006</v>
      </c>
      <c r="M18" s="9">
        <v>4</v>
      </c>
      <c r="N18" s="9">
        <v>0</v>
      </c>
      <c r="O18" s="9">
        <v>8794</v>
      </c>
      <c r="P18" s="9">
        <v>8</v>
      </c>
      <c r="Q18" s="9">
        <v>70</v>
      </c>
      <c r="R18" s="9">
        <v>50</v>
      </c>
      <c r="S18" s="13" t="s">
        <v>54</v>
      </c>
      <c r="T18" s="9" t="s">
        <v>83</v>
      </c>
      <c r="U18" s="9">
        <v>93.2</v>
      </c>
      <c r="V18" s="9">
        <v>10.3</v>
      </c>
      <c r="W18" s="9">
        <v>0</v>
      </c>
      <c r="X18" s="9">
        <v>74.400000000000006</v>
      </c>
      <c r="Y18" s="9">
        <v>225.49</v>
      </c>
      <c r="Z18" s="9" t="b">
        <f>TRUE()</f>
        <v>1</v>
      </c>
    </row>
    <row r="19" spans="1:26" x14ac:dyDescent="0.3">
      <c r="A19" s="11" t="s">
        <v>101</v>
      </c>
      <c r="B19" s="11" t="s">
        <v>96</v>
      </c>
      <c r="C19" s="11" t="s">
        <v>71</v>
      </c>
      <c r="D19" s="11" t="s">
        <v>102</v>
      </c>
      <c r="E19" s="11" t="s">
        <v>103</v>
      </c>
      <c r="F19" s="11" t="s">
        <v>103</v>
      </c>
      <c r="G19" s="11">
        <v>14</v>
      </c>
      <c r="H19" s="11">
        <v>7</v>
      </c>
      <c r="I19" s="11">
        <v>3</v>
      </c>
      <c r="J19" s="11">
        <v>35</v>
      </c>
      <c r="K19" s="11">
        <v>21</v>
      </c>
      <c r="L19" s="11">
        <v>60</v>
      </c>
      <c r="M19" s="11">
        <v>0</v>
      </c>
      <c r="N19" s="11">
        <v>0</v>
      </c>
      <c r="O19" s="11">
        <v>24890</v>
      </c>
      <c r="P19" s="11">
        <v>7</v>
      </c>
      <c r="Q19" s="11">
        <v>79</v>
      </c>
      <c r="R19" s="11">
        <v>72</v>
      </c>
      <c r="S19" s="14" t="s">
        <v>67</v>
      </c>
      <c r="T19" s="11" t="s">
        <v>77</v>
      </c>
      <c r="U19" s="11">
        <v>50</v>
      </c>
      <c r="V19" s="11">
        <v>0</v>
      </c>
      <c r="W19" s="11">
        <v>0</v>
      </c>
      <c r="X19" s="11">
        <v>60</v>
      </c>
      <c r="Y19" s="11">
        <v>711.14</v>
      </c>
      <c r="Z19" s="11" t="b">
        <f>TRUE()</f>
        <v>1</v>
      </c>
    </row>
    <row r="20" spans="1:26" x14ac:dyDescent="0.3">
      <c r="A20" s="9" t="s">
        <v>104</v>
      </c>
      <c r="B20" s="9" t="s">
        <v>34</v>
      </c>
      <c r="C20" s="9" t="s">
        <v>28</v>
      </c>
      <c r="D20" s="9" t="s">
        <v>97</v>
      </c>
      <c r="E20" s="9" t="s">
        <v>105</v>
      </c>
      <c r="F20" s="9" t="s">
        <v>105</v>
      </c>
      <c r="G20" s="9">
        <v>15.1</v>
      </c>
      <c r="H20" s="9">
        <v>7</v>
      </c>
      <c r="I20" s="9">
        <v>1</v>
      </c>
      <c r="J20" s="9">
        <v>168</v>
      </c>
      <c r="K20" s="9">
        <v>148</v>
      </c>
      <c r="L20" s="9">
        <v>88.1</v>
      </c>
      <c r="M20" s="9">
        <v>1</v>
      </c>
      <c r="N20" s="9">
        <v>1</v>
      </c>
      <c r="O20" s="9">
        <v>9287</v>
      </c>
      <c r="P20" s="9">
        <v>9</v>
      </c>
      <c r="Q20" s="9">
        <v>85</v>
      </c>
      <c r="R20" s="9">
        <v>77</v>
      </c>
      <c r="S20" s="13" t="s">
        <v>54</v>
      </c>
      <c r="T20" s="9" t="s">
        <v>77</v>
      </c>
      <c r="U20" s="9">
        <v>46.4</v>
      </c>
      <c r="V20" s="9">
        <v>0.6</v>
      </c>
      <c r="W20" s="9">
        <v>0.6</v>
      </c>
      <c r="X20" s="9">
        <v>88.1</v>
      </c>
      <c r="Y20" s="9">
        <v>55.28</v>
      </c>
      <c r="Z20" s="9" t="b">
        <f>TRUE()</f>
        <v>1</v>
      </c>
    </row>
    <row r="21" spans="1:26" x14ac:dyDescent="0.3">
      <c r="A21" s="11" t="s">
        <v>106</v>
      </c>
      <c r="B21" s="11" t="s">
        <v>57</v>
      </c>
      <c r="C21" s="11" t="s">
        <v>47</v>
      </c>
      <c r="D21" s="11" t="s">
        <v>29</v>
      </c>
      <c r="E21" s="11" t="s">
        <v>107</v>
      </c>
      <c r="F21" s="11" t="s">
        <v>107</v>
      </c>
      <c r="G21" s="11">
        <v>4.8</v>
      </c>
      <c r="H21" s="11">
        <v>6</v>
      </c>
      <c r="I21" s="11">
        <v>7</v>
      </c>
      <c r="J21" s="11">
        <v>37</v>
      </c>
      <c r="K21" s="11">
        <v>31</v>
      </c>
      <c r="L21" s="11">
        <v>83.8</v>
      </c>
      <c r="M21" s="11">
        <v>1</v>
      </c>
      <c r="N21" s="11">
        <v>1</v>
      </c>
      <c r="O21" s="11">
        <v>13991</v>
      </c>
      <c r="P21" s="11">
        <v>9</v>
      </c>
      <c r="Q21" s="11">
        <v>77</v>
      </c>
      <c r="R21" s="11">
        <v>82</v>
      </c>
      <c r="S21" s="14" t="s">
        <v>67</v>
      </c>
      <c r="T21" s="11" t="s">
        <v>86</v>
      </c>
      <c r="U21" s="11">
        <v>100</v>
      </c>
      <c r="V21" s="11">
        <v>2.7</v>
      </c>
      <c r="W21" s="11">
        <v>2.7</v>
      </c>
      <c r="X21" s="11">
        <v>83.8</v>
      </c>
      <c r="Y21" s="11">
        <v>378.14</v>
      </c>
      <c r="Z21" s="11" t="b">
        <f>FALSE()</f>
        <v>0</v>
      </c>
    </row>
    <row r="22" spans="1:26" x14ac:dyDescent="0.3">
      <c r="A22" s="9" t="s">
        <v>108</v>
      </c>
      <c r="B22" s="9" t="s">
        <v>27</v>
      </c>
      <c r="C22" s="9" t="s">
        <v>28</v>
      </c>
      <c r="D22" s="9" t="s">
        <v>58</v>
      </c>
      <c r="E22" s="9" t="s">
        <v>109</v>
      </c>
      <c r="F22" s="9" t="s">
        <v>109</v>
      </c>
      <c r="G22" s="9">
        <v>19.3</v>
      </c>
      <c r="H22" s="9">
        <v>13</v>
      </c>
      <c r="I22" s="9">
        <v>2</v>
      </c>
      <c r="J22" s="9">
        <v>86</v>
      </c>
      <c r="K22" s="9">
        <v>55</v>
      </c>
      <c r="L22" s="9">
        <v>64</v>
      </c>
      <c r="M22" s="9">
        <v>11</v>
      </c>
      <c r="N22" s="9">
        <v>5</v>
      </c>
      <c r="O22" s="9">
        <v>22901</v>
      </c>
      <c r="P22" s="9">
        <v>6</v>
      </c>
      <c r="Q22" s="9">
        <v>74</v>
      </c>
      <c r="R22" s="9">
        <v>87</v>
      </c>
      <c r="S22" s="14" t="s">
        <v>67</v>
      </c>
      <c r="T22" s="9" t="s">
        <v>44</v>
      </c>
      <c r="U22" s="9">
        <v>67.400000000000006</v>
      </c>
      <c r="V22" s="9">
        <v>12.8</v>
      </c>
      <c r="W22" s="9">
        <v>5.8</v>
      </c>
      <c r="X22" s="9">
        <v>64</v>
      </c>
      <c r="Y22" s="9">
        <v>266.29000000000002</v>
      </c>
      <c r="Z22" s="9" t="b">
        <f>FALSE()</f>
        <v>0</v>
      </c>
    </row>
    <row r="23" spans="1:26" x14ac:dyDescent="0.3">
      <c r="A23" s="11" t="s">
        <v>110</v>
      </c>
      <c r="B23" s="11" t="s">
        <v>91</v>
      </c>
      <c r="C23" s="11" t="s">
        <v>71</v>
      </c>
      <c r="D23" s="11" t="s">
        <v>102</v>
      </c>
      <c r="E23" s="11" t="s">
        <v>111</v>
      </c>
      <c r="F23" s="11" t="s">
        <v>112</v>
      </c>
      <c r="G23" s="11">
        <v>28.6</v>
      </c>
      <c r="H23" s="11">
        <v>13</v>
      </c>
      <c r="I23" s="11">
        <v>5</v>
      </c>
      <c r="J23" s="11">
        <v>45</v>
      </c>
      <c r="K23" s="11">
        <v>26</v>
      </c>
      <c r="L23" s="11">
        <v>57.8</v>
      </c>
      <c r="M23" s="11">
        <v>1</v>
      </c>
      <c r="N23" s="11">
        <v>1</v>
      </c>
      <c r="O23" s="11">
        <v>14934</v>
      </c>
      <c r="P23" s="11">
        <v>5</v>
      </c>
      <c r="Q23" s="11">
        <v>72</v>
      </c>
      <c r="R23" s="11">
        <v>60</v>
      </c>
      <c r="S23" s="10" t="s">
        <v>31</v>
      </c>
      <c r="T23" s="11" t="s">
        <v>38</v>
      </c>
      <c r="U23" s="11">
        <v>45.5</v>
      </c>
      <c r="V23" s="11">
        <v>2.2000000000000002</v>
      </c>
      <c r="W23" s="11">
        <v>2.2000000000000002</v>
      </c>
      <c r="X23" s="11">
        <v>57.8</v>
      </c>
      <c r="Y23" s="11">
        <v>331.87</v>
      </c>
      <c r="Z23" s="11" t="b">
        <f>TRUE()</f>
        <v>1</v>
      </c>
    </row>
    <row r="24" spans="1:26" x14ac:dyDescent="0.3">
      <c r="A24" s="9" t="s">
        <v>113</v>
      </c>
      <c r="B24" s="9" t="s">
        <v>114</v>
      </c>
      <c r="C24" s="9" t="s">
        <v>115</v>
      </c>
      <c r="D24" s="9" t="s">
        <v>97</v>
      </c>
      <c r="E24" s="9" t="s">
        <v>116</v>
      </c>
      <c r="F24" s="9" t="s">
        <v>116</v>
      </c>
      <c r="G24" s="9">
        <v>8.5</v>
      </c>
      <c r="H24" s="9">
        <v>12</v>
      </c>
      <c r="I24" s="9">
        <v>5</v>
      </c>
      <c r="J24" s="9">
        <v>161</v>
      </c>
      <c r="K24" s="9">
        <v>110</v>
      </c>
      <c r="L24" s="9">
        <v>68.3</v>
      </c>
      <c r="M24" s="9">
        <v>21</v>
      </c>
      <c r="N24" s="9">
        <v>3</v>
      </c>
      <c r="O24" s="9">
        <v>75420</v>
      </c>
      <c r="P24" s="9">
        <v>2</v>
      </c>
      <c r="Q24" s="9">
        <v>78</v>
      </c>
      <c r="R24" s="9">
        <v>52</v>
      </c>
      <c r="S24" s="12" t="s">
        <v>37</v>
      </c>
      <c r="T24" s="9" t="s">
        <v>77</v>
      </c>
      <c r="U24" s="9">
        <v>100</v>
      </c>
      <c r="V24" s="9">
        <v>13</v>
      </c>
      <c r="W24" s="9">
        <v>1.9</v>
      </c>
      <c r="X24" s="9">
        <v>68.3</v>
      </c>
      <c r="Y24" s="9">
        <v>468.45</v>
      </c>
      <c r="Z24" s="9" t="b">
        <f>TRUE()</f>
        <v>1</v>
      </c>
    </row>
    <row r="25" spans="1:26" x14ac:dyDescent="0.3">
      <c r="A25" s="11" t="s">
        <v>117</v>
      </c>
      <c r="B25" s="11" t="s">
        <v>40</v>
      </c>
      <c r="C25" s="11" t="s">
        <v>41</v>
      </c>
      <c r="D25" s="11" t="s">
        <v>81</v>
      </c>
      <c r="E25" s="11" t="s">
        <v>118</v>
      </c>
      <c r="F25" s="11" t="s">
        <v>118</v>
      </c>
      <c r="G25" s="11">
        <v>12.4</v>
      </c>
      <c r="H25" s="11">
        <v>7</v>
      </c>
      <c r="I25" s="11">
        <v>1</v>
      </c>
      <c r="J25" s="11">
        <v>72</v>
      </c>
      <c r="K25" s="11">
        <v>61</v>
      </c>
      <c r="L25" s="11">
        <v>84.7</v>
      </c>
      <c r="M25" s="11">
        <v>4</v>
      </c>
      <c r="N25" s="11">
        <v>4</v>
      </c>
      <c r="O25" s="11">
        <v>41640</v>
      </c>
      <c r="P25" s="11">
        <v>0</v>
      </c>
      <c r="Q25" s="11">
        <v>72</v>
      </c>
      <c r="R25" s="11">
        <v>85</v>
      </c>
      <c r="S25" s="10" t="s">
        <v>31</v>
      </c>
      <c r="T25" s="11" t="s">
        <v>49</v>
      </c>
      <c r="U25" s="11">
        <v>56.5</v>
      </c>
      <c r="V25" s="11">
        <v>5.6</v>
      </c>
      <c r="W25" s="11">
        <v>5.6</v>
      </c>
      <c r="X25" s="11">
        <v>84.7</v>
      </c>
      <c r="Y25" s="11">
        <v>578.33000000000004</v>
      </c>
      <c r="Z25" s="11" t="b">
        <f>FALSE()</f>
        <v>0</v>
      </c>
    </row>
    <row r="26" spans="1:26" x14ac:dyDescent="0.3">
      <c r="A26" s="9" t="s">
        <v>119</v>
      </c>
      <c r="B26" s="9" t="s">
        <v>120</v>
      </c>
      <c r="C26" s="9" t="s">
        <v>47</v>
      </c>
      <c r="D26" s="9" t="s">
        <v>81</v>
      </c>
      <c r="E26" s="9" t="s">
        <v>121</v>
      </c>
      <c r="F26" s="9" t="s">
        <v>122</v>
      </c>
      <c r="G26" s="9">
        <v>30.4</v>
      </c>
      <c r="H26" s="9">
        <v>14</v>
      </c>
      <c r="I26" s="9">
        <v>6</v>
      </c>
      <c r="J26" s="9">
        <v>61</v>
      </c>
      <c r="K26" s="9">
        <v>53</v>
      </c>
      <c r="L26" s="9">
        <v>86.9</v>
      </c>
      <c r="M26" s="9">
        <v>8</v>
      </c>
      <c r="N26" s="9">
        <v>6</v>
      </c>
      <c r="O26" s="9">
        <v>47068</v>
      </c>
      <c r="P26" s="9">
        <v>1</v>
      </c>
      <c r="Q26" s="9">
        <v>72</v>
      </c>
      <c r="R26" s="9">
        <v>89</v>
      </c>
      <c r="S26" s="13" t="s">
        <v>54</v>
      </c>
      <c r="T26" s="9" t="s">
        <v>77</v>
      </c>
      <c r="U26" s="9">
        <v>46.1</v>
      </c>
      <c r="V26" s="9">
        <v>13.1</v>
      </c>
      <c r="W26" s="9">
        <v>9.8000000000000007</v>
      </c>
      <c r="X26" s="9">
        <v>86.9</v>
      </c>
      <c r="Y26" s="9">
        <v>771.61</v>
      </c>
      <c r="Z26" s="9" t="b">
        <f>FALSE()</f>
        <v>0</v>
      </c>
    </row>
    <row r="27" spans="1:26" x14ac:dyDescent="0.3">
      <c r="A27" s="11" t="s">
        <v>123</v>
      </c>
      <c r="B27" s="11" t="s">
        <v>114</v>
      </c>
      <c r="C27" s="11" t="s">
        <v>115</v>
      </c>
      <c r="D27" s="11" t="s">
        <v>35</v>
      </c>
      <c r="E27" s="11" t="s">
        <v>124</v>
      </c>
      <c r="F27" s="11" t="s">
        <v>124</v>
      </c>
      <c r="G27" s="11">
        <v>8.1</v>
      </c>
      <c r="H27" s="11">
        <v>6</v>
      </c>
      <c r="I27" s="11">
        <v>3</v>
      </c>
      <c r="J27" s="11">
        <v>30</v>
      </c>
      <c r="K27" s="11">
        <v>20</v>
      </c>
      <c r="L27" s="11">
        <v>66.7</v>
      </c>
      <c r="M27" s="11">
        <v>0</v>
      </c>
      <c r="N27" s="11">
        <v>0</v>
      </c>
      <c r="O27" s="11">
        <v>20756</v>
      </c>
      <c r="P27" s="11">
        <v>3</v>
      </c>
      <c r="Q27" s="11">
        <v>91</v>
      </c>
      <c r="R27" s="11">
        <v>51</v>
      </c>
      <c r="S27" s="10" t="s">
        <v>31</v>
      </c>
      <c r="T27" s="11" t="s">
        <v>77</v>
      </c>
      <c r="U27" s="11">
        <v>74.099999999999994</v>
      </c>
      <c r="V27" s="11">
        <v>0</v>
      </c>
      <c r="W27" s="11">
        <v>0</v>
      </c>
      <c r="X27" s="11">
        <v>66.7</v>
      </c>
      <c r="Y27" s="11">
        <v>691.87</v>
      </c>
      <c r="Z27" s="11" t="b">
        <f>TRUE()</f>
        <v>1</v>
      </c>
    </row>
    <row r="28" spans="1:26" x14ac:dyDescent="0.3">
      <c r="A28" s="9" t="s">
        <v>125</v>
      </c>
      <c r="B28" s="9" t="s">
        <v>46</v>
      </c>
      <c r="C28" s="9" t="s">
        <v>47</v>
      </c>
      <c r="D28" s="9" t="s">
        <v>126</v>
      </c>
      <c r="E28" s="9" t="s">
        <v>127</v>
      </c>
      <c r="F28" s="9" t="s">
        <v>127</v>
      </c>
      <c r="G28" s="9">
        <v>13</v>
      </c>
      <c r="H28" s="9">
        <v>6</v>
      </c>
      <c r="I28" s="9">
        <v>3</v>
      </c>
      <c r="J28" s="9">
        <v>65</v>
      </c>
      <c r="K28" s="9">
        <v>61</v>
      </c>
      <c r="L28" s="9">
        <v>93.8</v>
      </c>
      <c r="M28" s="9">
        <v>0</v>
      </c>
      <c r="N28" s="9">
        <v>0</v>
      </c>
      <c r="O28" s="9">
        <v>60242</v>
      </c>
      <c r="P28" s="9">
        <v>5</v>
      </c>
      <c r="Q28" s="9">
        <v>95</v>
      </c>
      <c r="R28" s="9">
        <v>71</v>
      </c>
      <c r="S28" s="12" t="s">
        <v>37</v>
      </c>
      <c r="T28" s="9" t="s">
        <v>83</v>
      </c>
      <c r="U28" s="9">
        <v>46.2</v>
      </c>
      <c r="V28" s="9">
        <v>0</v>
      </c>
      <c r="W28" s="9">
        <v>0</v>
      </c>
      <c r="X28" s="9">
        <v>93.8</v>
      </c>
      <c r="Y28" s="9">
        <v>926.8</v>
      </c>
      <c r="Z28" s="9" t="b">
        <f>TRUE()</f>
        <v>1</v>
      </c>
    </row>
    <row r="29" spans="1:26" x14ac:dyDescent="0.3">
      <c r="A29" s="11" t="s">
        <v>128</v>
      </c>
      <c r="B29" s="11" t="s">
        <v>129</v>
      </c>
      <c r="C29" s="11" t="s">
        <v>71</v>
      </c>
      <c r="D29" s="11" t="s">
        <v>61</v>
      </c>
      <c r="E29" s="11" t="s">
        <v>130</v>
      </c>
      <c r="F29" s="11" t="s">
        <v>130</v>
      </c>
      <c r="G29" s="11">
        <v>6.4</v>
      </c>
      <c r="H29" s="11">
        <v>5</v>
      </c>
      <c r="I29" s="11">
        <v>1</v>
      </c>
      <c r="J29" s="11">
        <v>29</v>
      </c>
      <c r="K29" s="11">
        <v>27</v>
      </c>
      <c r="L29" s="11">
        <v>93.1</v>
      </c>
      <c r="M29" s="11">
        <v>1</v>
      </c>
      <c r="N29" s="11">
        <v>0</v>
      </c>
      <c r="O29" s="11">
        <v>66244</v>
      </c>
      <c r="P29" s="11">
        <v>7</v>
      </c>
      <c r="Q29" s="11">
        <v>81</v>
      </c>
      <c r="R29" s="11">
        <v>64</v>
      </c>
      <c r="S29" s="12" t="s">
        <v>37</v>
      </c>
      <c r="T29" s="11" t="s">
        <v>83</v>
      </c>
      <c r="U29" s="11">
        <v>78.099999999999994</v>
      </c>
      <c r="V29" s="11">
        <v>3.4</v>
      </c>
      <c r="W29" s="11">
        <v>0</v>
      </c>
      <c r="X29" s="11">
        <v>93.1</v>
      </c>
      <c r="Y29" s="11">
        <v>2284.2800000000002</v>
      </c>
      <c r="Z29" s="11" t="b">
        <f>TRUE()</f>
        <v>1</v>
      </c>
    </row>
    <row r="30" spans="1:26" x14ac:dyDescent="0.3">
      <c r="A30" s="9" t="s">
        <v>131</v>
      </c>
      <c r="B30" s="9" t="s">
        <v>27</v>
      </c>
      <c r="C30" s="9" t="s">
        <v>28</v>
      </c>
      <c r="D30" s="9" t="s">
        <v>29</v>
      </c>
      <c r="E30" s="9" t="s">
        <v>132</v>
      </c>
      <c r="F30" s="9" t="s">
        <v>132</v>
      </c>
      <c r="G30" s="9">
        <v>11.9</v>
      </c>
      <c r="H30" s="9">
        <v>10</v>
      </c>
      <c r="I30" s="9">
        <v>5</v>
      </c>
      <c r="J30" s="9">
        <v>37</v>
      </c>
      <c r="K30" s="9">
        <v>36</v>
      </c>
      <c r="L30" s="9">
        <v>97.3</v>
      </c>
      <c r="M30" s="9">
        <v>2</v>
      </c>
      <c r="N30" s="9">
        <v>1</v>
      </c>
      <c r="O30" s="9">
        <v>53111</v>
      </c>
      <c r="P30" s="9">
        <v>6</v>
      </c>
      <c r="Q30" s="9">
        <v>91</v>
      </c>
      <c r="R30" s="9">
        <v>98</v>
      </c>
      <c r="S30" s="14" t="s">
        <v>67</v>
      </c>
      <c r="T30" s="9" t="s">
        <v>32</v>
      </c>
      <c r="U30" s="9">
        <v>84</v>
      </c>
      <c r="V30" s="9">
        <v>5.4</v>
      </c>
      <c r="W30" s="9">
        <v>2.7</v>
      </c>
      <c r="X30" s="9">
        <v>97.3</v>
      </c>
      <c r="Y30" s="9">
        <v>1435.43</v>
      </c>
      <c r="Z30" s="9" t="b">
        <f>FALSE()</f>
        <v>0</v>
      </c>
    </row>
    <row r="31" spans="1:26" x14ac:dyDescent="0.3">
      <c r="A31" s="11" t="s">
        <v>133</v>
      </c>
      <c r="B31" s="11" t="s">
        <v>79</v>
      </c>
      <c r="C31" s="11" t="s">
        <v>80</v>
      </c>
      <c r="D31" s="11" t="s">
        <v>126</v>
      </c>
      <c r="E31" s="11" t="s">
        <v>134</v>
      </c>
      <c r="F31" s="11" t="s">
        <v>134</v>
      </c>
      <c r="G31" s="11">
        <v>6.1</v>
      </c>
      <c r="H31" s="11">
        <v>8</v>
      </c>
      <c r="I31" s="11">
        <v>1</v>
      </c>
      <c r="J31" s="11">
        <v>172</v>
      </c>
      <c r="K31" s="11">
        <v>128</v>
      </c>
      <c r="L31" s="11">
        <v>74.400000000000006</v>
      </c>
      <c r="M31" s="11">
        <v>23</v>
      </c>
      <c r="N31" s="11">
        <v>10</v>
      </c>
      <c r="O31" s="11">
        <v>37730</v>
      </c>
      <c r="P31" s="11">
        <v>8</v>
      </c>
      <c r="Q31" s="11">
        <v>73</v>
      </c>
      <c r="R31" s="11">
        <v>69</v>
      </c>
      <c r="S31" s="12" t="s">
        <v>37</v>
      </c>
      <c r="T31" s="11" t="s">
        <v>83</v>
      </c>
      <c r="U31" s="11">
        <v>100</v>
      </c>
      <c r="V31" s="11">
        <v>13.4</v>
      </c>
      <c r="W31" s="11">
        <v>5.8</v>
      </c>
      <c r="X31" s="11">
        <v>74.400000000000006</v>
      </c>
      <c r="Y31" s="11">
        <v>219.36</v>
      </c>
      <c r="Z31" s="11" t="b">
        <f>TRUE()</f>
        <v>1</v>
      </c>
    </row>
    <row r="32" spans="1:26" x14ac:dyDescent="0.3">
      <c r="A32" s="9" t="s">
        <v>135</v>
      </c>
      <c r="B32" s="9" t="s">
        <v>64</v>
      </c>
      <c r="C32" s="9" t="s">
        <v>65</v>
      </c>
      <c r="D32" s="9" t="s">
        <v>52</v>
      </c>
      <c r="E32" s="9" t="s">
        <v>136</v>
      </c>
      <c r="F32" s="9" t="s">
        <v>136</v>
      </c>
      <c r="G32" s="9">
        <v>5.9</v>
      </c>
      <c r="H32" s="9">
        <v>4</v>
      </c>
      <c r="I32" s="9">
        <v>6</v>
      </c>
      <c r="J32" s="9">
        <v>157</v>
      </c>
      <c r="K32" s="9">
        <v>134</v>
      </c>
      <c r="L32" s="9">
        <v>85.4</v>
      </c>
      <c r="M32" s="9">
        <v>23</v>
      </c>
      <c r="N32" s="9">
        <v>23</v>
      </c>
      <c r="O32" s="9">
        <v>55297</v>
      </c>
      <c r="P32" s="9">
        <v>5</v>
      </c>
      <c r="Q32" s="9">
        <v>83</v>
      </c>
      <c r="R32" s="9">
        <v>49</v>
      </c>
      <c r="S32" s="13" t="s">
        <v>54</v>
      </c>
      <c r="T32" s="9" t="s">
        <v>74</v>
      </c>
      <c r="U32" s="9">
        <v>67.8</v>
      </c>
      <c r="V32" s="9">
        <v>14.6</v>
      </c>
      <c r="W32" s="9">
        <v>14.6</v>
      </c>
      <c r="X32" s="9">
        <v>85.4</v>
      </c>
      <c r="Y32" s="9">
        <v>352.21</v>
      </c>
      <c r="Z32" s="9" t="b">
        <f>TRUE()</f>
        <v>1</v>
      </c>
    </row>
    <row r="33" spans="1:26" x14ac:dyDescent="0.3">
      <c r="A33" s="11" t="s">
        <v>137</v>
      </c>
      <c r="B33" s="11" t="s">
        <v>27</v>
      </c>
      <c r="C33" s="11" t="s">
        <v>28</v>
      </c>
      <c r="D33" s="11" t="s">
        <v>97</v>
      </c>
      <c r="E33" s="11" t="s">
        <v>138</v>
      </c>
      <c r="F33" s="11" t="s">
        <v>139</v>
      </c>
      <c r="G33" s="11">
        <v>30.8</v>
      </c>
      <c r="H33" s="11">
        <v>15</v>
      </c>
      <c r="I33" s="11">
        <v>5</v>
      </c>
      <c r="J33" s="11">
        <v>149</v>
      </c>
      <c r="K33" s="11">
        <v>102</v>
      </c>
      <c r="L33" s="11">
        <v>68.5</v>
      </c>
      <c r="M33" s="11">
        <v>13</v>
      </c>
      <c r="N33" s="11">
        <v>5</v>
      </c>
      <c r="O33" s="11">
        <v>35180</v>
      </c>
      <c r="P33" s="11">
        <v>4</v>
      </c>
      <c r="Q33" s="11">
        <v>87</v>
      </c>
      <c r="R33" s="11">
        <v>53</v>
      </c>
      <c r="S33" s="10" t="s">
        <v>31</v>
      </c>
      <c r="T33" s="11" t="s">
        <v>68</v>
      </c>
      <c r="U33" s="11">
        <v>48.7</v>
      </c>
      <c r="V33" s="11">
        <v>8.6999999999999993</v>
      </c>
      <c r="W33" s="11">
        <v>3.4</v>
      </c>
      <c r="X33" s="11">
        <v>68.5</v>
      </c>
      <c r="Y33" s="11">
        <v>236.11</v>
      </c>
      <c r="Z33" s="11" t="b">
        <f>TRUE()</f>
        <v>1</v>
      </c>
    </row>
    <row r="34" spans="1:26" x14ac:dyDescent="0.3">
      <c r="A34" s="9" t="s">
        <v>140</v>
      </c>
      <c r="B34" s="9" t="s">
        <v>70</v>
      </c>
      <c r="C34" s="9" t="s">
        <v>71</v>
      </c>
      <c r="D34" s="9" t="s">
        <v>102</v>
      </c>
      <c r="E34" s="9" t="s">
        <v>141</v>
      </c>
      <c r="F34" s="9" t="s">
        <v>141</v>
      </c>
      <c r="G34" s="9">
        <v>4.5999999999999996</v>
      </c>
      <c r="H34" s="9">
        <v>4</v>
      </c>
      <c r="I34" s="9">
        <v>3</v>
      </c>
      <c r="J34" s="9">
        <v>73</v>
      </c>
      <c r="K34" s="9">
        <v>54</v>
      </c>
      <c r="L34" s="9">
        <v>74</v>
      </c>
      <c r="M34" s="9">
        <v>9</v>
      </c>
      <c r="N34" s="9">
        <v>9</v>
      </c>
      <c r="O34" s="9">
        <v>54103</v>
      </c>
      <c r="P34" s="9">
        <v>7</v>
      </c>
      <c r="Q34" s="9">
        <v>84</v>
      </c>
      <c r="R34" s="9">
        <v>73</v>
      </c>
      <c r="S34" s="14" t="s">
        <v>67</v>
      </c>
      <c r="T34" s="9" t="s">
        <v>77</v>
      </c>
      <c r="U34" s="9">
        <v>87</v>
      </c>
      <c r="V34" s="9">
        <v>12.3</v>
      </c>
      <c r="W34" s="9">
        <v>12.3</v>
      </c>
      <c r="X34" s="9">
        <v>74</v>
      </c>
      <c r="Y34" s="9">
        <v>741.14</v>
      </c>
      <c r="Z34" s="9" t="b">
        <f>TRUE()</f>
        <v>1</v>
      </c>
    </row>
    <row r="35" spans="1:26" x14ac:dyDescent="0.3">
      <c r="A35" s="11" t="s">
        <v>142</v>
      </c>
      <c r="B35" s="11" t="s">
        <v>27</v>
      </c>
      <c r="C35" s="11" t="s">
        <v>28</v>
      </c>
      <c r="D35" s="11" t="s">
        <v>61</v>
      </c>
      <c r="E35" s="11" t="s">
        <v>143</v>
      </c>
      <c r="F35" s="11" t="s">
        <v>143</v>
      </c>
      <c r="G35" s="11">
        <v>11.8</v>
      </c>
      <c r="H35" s="11">
        <v>8</v>
      </c>
      <c r="I35" s="11">
        <v>8</v>
      </c>
      <c r="J35" s="11">
        <v>182</v>
      </c>
      <c r="K35" s="11">
        <v>150</v>
      </c>
      <c r="L35" s="11">
        <v>82.4</v>
      </c>
      <c r="M35" s="11">
        <v>2</v>
      </c>
      <c r="N35" s="11">
        <v>0</v>
      </c>
      <c r="O35" s="11">
        <v>55460</v>
      </c>
      <c r="P35" s="11">
        <v>3</v>
      </c>
      <c r="Q35" s="11">
        <v>95</v>
      </c>
      <c r="R35" s="11">
        <v>57</v>
      </c>
      <c r="S35" s="10" t="s">
        <v>31</v>
      </c>
      <c r="T35" s="11" t="s">
        <v>32</v>
      </c>
      <c r="U35" s="11">
        <v>67.8</v>
      </c>
      <c r="V35" s="11">
        <v>1.1000000000000001</v>
      </c>
      <c r="W35" s="11">
        <v>0</v>
      </c>
      <c r="X35" s="11">
        <v>82.4</v>
      </c>
      <c r="Y35" s="11">
        <v>304.73</v>
      </c>
      <c r="Z35" s="11" t="b">
        <f>TRUE()</f>
        <v>1</v>
      </c>
    </row>
    <row r="36" spans="1:26" x14ac:dyDescent="0.3">
      <c r="A36" s="9" t="s">
        <v>144</v>
      </c>
      <c r="B36" s="9" t="s">
        <v>114</v>
      </c>
      <c r="C36" s="9" t="s">
        <v>115</v>
      </c>
      <c r="D36" s="9" t="s">
        <v>29</v>
      </c>
      <c r="E36" s="9" t="s">
        <v>145</v>
      </c>
      <c r="F36" s="9" t="s">
        <v>145</v>
      </c>
      <c r="G36" s="9">
        <v>14.5</v>
      </c>
      <c r="H36" s="9">
        <v>11</v>
      </c>
      <c r="I36" s="9">
        <v>7</v>
      </c>
      <c r="J36" s="9">
        <v>181</v>
      </c>
      <c r="K36" s="9">
        <v>146</v>
      </c>
      <c r="L36" s="9">
        <v>80.7</v>
      </c>
      <c r="M36" s="9">
        <v>22</v>
      </c>
      <c r="N36" s="9">
        <v>22</v>
      </c>
      <c r="O36" s="9">
        <v>33798</v>
      </c>
      <c r="P36" s="9">
        <v>6</v>
      </c>
      <c r="Q36" s="9">
        <v>77</v>
      </c>
      <c r="R36" s="9">
        <v>54</v>
      </c>
      <c r="S36" s="14" t="s">
        <v>67</v>
      </c>
      <c r="T36" s="9" t="s">
        <v>32</v>
      </c>
      <c r="U36" s="9">
        <v>75.900000000000006</v>
      </c>
      <c r="V36" s="9">
        <v>12.2</v>
      </c>
      <c r="W36" s="9">
        <v>12.2</v>
      </c>
      <c r="X36" s="9">
        <v>80.7</v>
      </c>
      <c r="Y36" s="9">
        <v>186.73</v>
      </c>
      <c r="Z36" s="9" t="b">
        <f>TRUE()</f>
        <v>1</v>
      </c>
    </row>
    <row r="37" spans="1:26" x14ac:dyDescent="0.3">
      <c r="A37" s="11" t="s">
        <v>146</v>
      </c>
      <c r="B37" s="11" t="s">
        <v>34</v>
      </c>
      <c r="C37" s="11" t="s">
        <v>28</v>
      </c>
      <c r="D37" s="11" t="s">
        <v>42</v>
      </c>
      <c r="E37" s="11" t="s">
        <v>147</v>
      </c>
      <c r="F37" s="11" t="s">
        <v>148</v>
      </c>
      <c r="G37" s="11">
        <v>34.200000000000003</v>
      </c>
      <c r="H37" s="11">
        <v>16</v>
      </c>
      <c r="I37" s="11">
        <v>6</v>
      </c>
      <c r="J37" s="11">
        <v>152</v>
      </c>
      <c r="K37" s="11">
        <v>115</v>
      </c>
      <c r="L37" s="11">
        <v>75.7</v>
      </c>
      <c r="M37" s="11">
        <v>17</v>
      </c>
      <c r="N37" s="11">
        <v>7</v>
      </c>
      <c r="O37" s="11">
        <v>73810</v>
      </c>
      <c r="P37" s="11">
        <v>1</v>
      </c>
      <c r="Q37" s="11">
        <v>84</v>
      </c>
      <c r="R37" s="11">
        <v>53</v>
      </c>
      <c r="S37" s="12" t="s">
        <v>37</v>
      </c>
      <c r="T37" s="11" t="s">
        <v>77</v>
      </c>
      <c r="U37" s="11">
        <v>46.8</v>
      </c>
      <c r="V37" s="11">
        <v>11.2</v>
      </c>
      <c r="W37" s="11">
        <v>4.5999999999999996</v>
      </c>
      <c r="X37" s="11">
        <v>75.7</v>
      </c>
      <c r="Y37" s="11">
        <v>485.59</v>
      </c>
      <c r="Z37" s="11" t="b">
        <f>TRUE()</f>
        <v>1</v>
      </c>
    </row>
    <row r="38" spans="1:26" x14ac:dyDescent="0.3">
      <c r="A38" s="9" t="s">
        <v>149</v>
      </c>
      <c r="B38" s="9" t="s">
        <v>129</v>
      </c>
      <c r="C38" s="9" t="s">
        <v>71</v>
      </c>
      <c r="D38" s="9" t="s">
        <v>42</v>
      </c>
      <c r="E38" s="9" t="s">
        <v>150</v>
      </c>
      <c r="F38" s="9" t="s">
        <v>151</v>
      </c>
      <c r="G38" s="9">
        <v>25</v>
      </c>
      <c r="H38" s="9">
        <v>13</v>
      </c>
      <c r="I38" s="9">
        <v>8</v>
      </c>
      <c r="J38" s="9">
        <v>149</v>
      </c>
      <c r="K38" s="9">
        <v>110</v>
      </c>
      <c r="L38" s="9">
        <v>73.8</v>
      </c>
      <c r="M38" s="9">
        <v>17</v>
      </c>
      <c r="N38" s="9">
        <v>14</v>
      </c>
      <c r="O38" s="9">
        <v>72291</v>
      </c>
      <c r="P38" s="9">
        <v>7</v>
      </c>
      <c r="Q38" s="9">
        <v>84</v>
      </c>
      <c r="R38" s="9">
        <v>61</v>
      </c>
      <c r="S38" s="12" t="s">
        <v>37</v>
      </c>
      <c r="T38" s="9" t="s">
        <v>49</v>
      </c>
      <c r="U38" s="9">
        <v>52</v>
      </c>
      <c r="V38" s="9">
        <v>11.4</v>
      </c>
      <c r="W38" s="9">
        <v>9.4</v>
      </c>
      <c r="X38" s="9">
        <v>73.8</v>
      </c>
      <c r="Y38" s="9">
        <v>485.17</v>
      </c>
      <c r="Z38" s="9" t="b">
        <f>TRUE()</f>
        <v>1</v>
      </c>
    </row>
    <row r="39" spans="1:26" x14ac:dyDescent="0.3">
      <c r="A39" s="11" t="s">
        <v>152</v>
      </c>
      <c r="B39" s="11" t="s">
        <v>27</v>
      </c>
      <c r="C39" s="11" t="s">
        <v>28</v>
      </c>
      <c r="D39" s="11" t="s">
        <v>61</v>
      </c>
      <c r="E39" s="11" t="s">
        <v>153</v>
      </c>
      <c r="F39" s="11" t="s">
        <v>153</v>
      </c>
      <c r="G39" s="11">
        <v>10.9</v>
      </c>
      <c r="H39" s="11">
        <v>8</v>
      </c>
      <c r="I39" s="11">
        <v>2</v>
      </c>
      <c r="J39" s="11">
        <v>93</v>
      </c>
      <c r="K39" s="11">
        <v>60</v>
      </c>
      <c r="L39" s="11">
        <v>64.5</v>
      </c>
      <c r="M39" s="11">
        <v>5</v>
      </c>
      <c r="N39" s="11">
        <v>2</v>
      </c>
      <c r="O39" s="11">
        <v>71977</v>
      </c>
      <c r="P39" s="11">
        <v>1</v>
      </c>
      <c r="Q39" s="11">
        <v>74</v>
      </c>
      <c r="R39" s="11">
        <v>54</v>
      </c>
      <c r="S39" s="10" t="s">
        <v>31</v>
      </c>
      <c r="T39" s="11" t="s">
        <v>38</v>
      </c>
      <c r="U39" s="11">
        <v>73.400000000000006</v>
      </c>
      <c r="V39" s="11">
        <v>5.4</v>
      </c>
      <c r="W39" s="11">
        <v>2.2000000000000002</v>
      </c>
      <c r="X39" s="11">
        <v>64.5</v>
      </c>
      <c r="Y39" s="11">
        <v>773.95</v>
      </c>
      <c r="Z39" s="11" t="b">
        <f>TRUE()</f>
        <v>1</v>
      </c>
    </row>
    <row r="40" spans="1:26" x14ac:dyDescent="0.3">
      <c r="A40" s="9" t="s">
        <v>154</v>
      </c>
      <c r="B40" s="9" t="s">
        <v>70</v>
      </c>
      <c r="C40" s="9" t="s">
        <v>71</v>
      </c>
      <c r="D40" s="9" t="s">
        <v>35</v>
      </c>
      <c r="E40" s="9" t="s">
        <v>155</v>
      </c>
      <c r="F40" s="9" t="s">
        <v>155</v>
      </c>
      <c r="G40" s="9">
        <v>13.6</v>
      </c>
      <c r="H40" s="9">
        <v>9</v>
      </c>
      <c r="I40" s="9">
        <v>8</v>
      </c>
      <c r="J40" s="9">
        <v>126</v>
      </c>
      <c r="K40" s="9">
        <v>72</v>
      </c>
      <c r="L40" s="9">
        <v>57.1</v>
      </c>
      <c r="M40" s="9">
        <v>13</v>
      </c>
      <c r="N40" s="9">
        <v>6</v>
      </c>
      <c r="O40" s="9">
        <v>72863</v>
      </c>
      <c r="P40" s="9">
        <v>9</v>
      </c>
      <c r="Q40" s="9">
        <v>92</v>
      </c>
      <c r="R40" s="9">
        <v>46</v>
      </c>
      <c r="S40" s="12" t="s">
        <v>37</v>
      </c>
      <c r="T40" s="9" t="s">
        <v>86</v>
      </c>
      <c r="U40" s="9">
        <v>66.2</v>
      </c>
      <c r="V40" s="9">
        <v>10.3</v>
      </c>
      <c r="W40" s="9">
        <v>4.8</v>
      </c>
      <c r="X40" s="9">
        <v>57.1</v>
      </c>
      <c r="Y40" s="9">
        <v>578.28</v>
      </c>
      <c r="Z40" s="9" t="b">
        <f>TRUE()</f>
        <v>1</v>
      </c>
    </row>
    <row r="41" spans="1:26" x14ac:dyDescent="0.3">
      <c r="A41" s="11" t="s">
        <v>156</v>
      </c>
      <c r="B41" s="11" t="s">
        <v>91</v>
      </c>
      <c r="C41" s="11" t="s">
        <v>71</v>
      </c>
      <c r="D41" s="11" t="s">
        <v>35</v>
      </c>
      <c r="E41" s="11" t="s">
        <v>157</v>
      </c>
      <c r="F41" s="11" t="s">
        <v>157</v>
      </c>
      <c r="G41" s="11">
        <v>14.6</v>
      </c>
      <c r="H41" s="11">
        <v>8</v>
      </c>
      <c r="I41" s="11">
        <v>3</v>
      </c>
      <c r="J41" s="11">
        <v>127</v>
      </c>
      <c r="K41" s="11">
        <v>100</v>
      </c>
      <c r="L41" s="11">
        <v>78.7</v>
      </c>
      <c r="M41" s="11">
        <v>17</v>
      </c>
      <c r="N41" s="11">
        <v>7</v>
      </c>
      <c r="O41" s="11">
        <v>41617</v>
      </c>
      <c r="P41" s="11">
        <v>4</v>
      </c>
      <c r="Q41" s="11">
        <v>83</v>
      </c>
      <c r="R41" s="11">
        <v>76</v>
      </c>
      <c r="S41" s="10" t="s">
        <v>31</v>
      </c>
      <c r="T41" s="11" t="s">
        <v>74</v>
      </c>
      <c r="U41" s="11">
        <v>54.8</v>
      </c>
      <c r="V41" s="11">
        <v>13.4</v>
      </c>
      <c r="W41" s="11">
        <v>5.5</v>
      </c>
      <c r="X41" s="11">
        <v>78.7</v>
      </c>
      <c r="Y41" s="11">
        <v>327.69</v>
      </c>
      <c r="Z41" s="11" t="b">
        <f>TRUE()</f>
        <v>1</v>
      </c>
    </row>
    <row r="42" spans="1:26" x14ac:dyDescent="0.3">
      <c r="A42" s="9" t="s">
        <v>158</v>
      </c>
      <c r="B42" s="9" t="s">
        <v>51</v>
      </c>
      <c r="C42" s="9" t="s">
        <v>28</v>
      </c>
      <c r="D42" s="9" t="s">
        <v>97</v>
      </c>
      <c r="E42" s="9" t="s">
        <v>159</v>
      </c>
      <c r="F42" s="9" t="s">
        <v>159</v>
      </c>
      <c r="G42" s="9">
        <v>13</v>
      </c>
      <c r="H42" s="9">
        <v>6</v>
      </c>
      <c r="I42" s="9">
        <v>1</v>
      </c>
      <c r="J42" s="9">
        <v>156</v>
      </c>
      <c r="K42" s="9">
        <v>87</v>
      </c>
      <c r="L42" s="9">
        <v>55.8</v>
      </c>
      <c r="M42" s="9">
        <v>12</v>
      </c>
      <c r="N42" s="9">
        <v>9</v>
      </c>
      <c r="O42" s="9">
        <v>47329</v>
      </c>
      <c r="P42" s="9">
        <v>0</v>
      </c>
      <c r="Q42" s="9">
        <v>72</v>
      </c>
      <c r="R42" s="9">
        <v>86</v>
      </c>
      <c r="S42" s="10" t="s">
        <v>31</v>
      </c>
      <c r="T42" s="9" t="s">
        <v>44</v>
      </c>
      <c r="U42" s="9">
        <v>46.2</v>
      </c>
      <c r="V42" s="9">
        <v>7.7</v>
      </c>
      <c r="W42" s="9">
        <v>5.8</v>
      </c>
      <c r="X42" s="9">
        <v>55.8</v>
      </c>
      <c r="Y42" s="9">
        <v>303.39</v>
      </c>
      <c r="Z42" s="9" t="b">
        <f>FALSE()</f>
        <v>0</v>
      </c>
    </row>
    <row r="43" spans="1:26" x14ac:dyDescent="0.3">
      <c r="A43" s="11" t="s">
        <v>160</v>
      </c>
      <c r="B43" s="11" t="s">
        <v>40</v>
      </c>
      <c r="C43" s="11" t="s">
        <v>41</v>
      </c>
      <c r="D43" s="11" t="s">
        <v>42</v>
      </c>
      <c r="E43" s="11" t="s">
        <v>161</v>
      </c>
      <c r="F43" s="11" t="s">
        <v>161</v>
      </c>
      <c r="G43" s="11">
        <v>9.1999999999999993</v>
      </c>
      <c r="H43" s="11">
        <v>9</v>
      </c>
      <c r="I43" s="11">
        <v>1</v>
      </c>
      <c r="J43" s="11">
        <v>103</v>
      </c>
      <c r="K43" s="11">
        <v>72</v>
      </c>
      <c r="L43" s="11">
        <v>69.900000000000006</v>
      </c>
      <c r="M43" s="11">
        <v>12</v>
      </c>
      <c r="N43" s="11">
        <v>4</v>
      </c>
      <c r="O43" s="11">
        <v>61401</v>
      </c>
      <c r="P43" s="11">
        <v>6</v>
      </c>
      <c r="Q43" s="11">
        <v>78</v>
      </c>
      <c r="R43" s="11">
        <v>98</v>
      </c>
      <c r="S43" s="10" t="s">
        <v>31</v>
      </c>
      <c r="T43" s="11" t="s">
        <v>32</v>
      </c>
      <c r="U43" s="11">
        <v>97.8</v>
      </c>
      <c r="V43" s="11">
        <v>11.7</v>
      </c>
      <c r="W43" s="11">
        <v>3.9</v>
      </c>
      <c r="X43" s="11">
        <v>69.900000000000006</v>
      </c>
      <c r="Y43" s="11">
        <v>596.13</v>
      </c>
      <c r="Z43" s="11" t="b">
        <f>FALSE()</f>
        <v>0</v>
      </c>
    </row>
    <row r="44" spans="1:26" x14ac:dyDescent="0.3">
      <c r="A44" s="9" t="s">
        <v>162</v>
      </c>
      <c r="B44" s="9" t="s">
        <v>120</v>
      </c>
      <c r="C44" s="9" t="s">
        <v>47</v>
      </c>
      <c r="D44" s="9" t="s">
        <v>29</v>
      </c>
      <c r="E44" s="9" t="s">
        <v>163</v>
      </c>
      <c r="F44" s="9" t="s">
        <v>163</v>
      </c>
      <c r="G44" s="9">
        <v>11.2</v>
      </c>
      <c r="H44" s="9">
        <v>14</v>
      </c>
      <c r="I44" s="9">
        <v>4</v>
      </c>
      <c r="J44" s="9">
        <v>186</v>
      </c>
      <c r="K44" s="9">
        <v>105</v>
      </c>
      <c r="L44" s="9">
        <v>56.5</v>
      </c>
      <c r="M44" s="9">
        <v>0</v>
      </c>
      <c r="N44" s="9">
        <v>0</v>
      </c>
      <c r="O44" s="9">
        <v>19952</v>
      </c>
      <c r="P44" s="9">
        <v>0</v>
      </c>
      <c r="Q44" s="9">
        <v>89</v>
      </c>
      <c r="R44" s="9">
        <v>54</v>
      </c>
      <c r="S44" s="10" t="s">
        <v>31</v>
      </c>
      <c r="T44" s="9" t="s">
        <v>44</v>
      </c>
      <c r="U44" s="9">
        <v>100</v>
      </c>
      <c r="V44" s="9">
        <v>0</v>
      </c>
      <c r="W44" s="9">
        <v>0</v>
      </c>
      <c r="X44" s="9">
        <v>56.5</v>
      </c>
      <c r="Y44" s="9">
        <v>107.27</v>
      </c>
      <c r="Z44" s="9" t="b">
        <f>TRUE()</f>
        <v>1</v>
      </c>
    </row>
    <row r="45" spans="1:26" x14ac:dyDescent="0.3">
      <c r="A45" s="11" t="s">
        <v>164</v>
      </c>
      <c r="B45" s="11" t="s">
        <v>96</v>
      </c>
      <c r="C45" s="11" t="s">
        <v>71</v>
      </c>
      <c r="D45" s="11" t="s">
        <v>35</v>
      </c>
      <c r="E45" s="11" t="s">
        <v>165</v>
      </c>
      <c r="F45" s="11" t="s">
        <v>165</v>
      </c>
      <c r="G45" s="11">
        <v>14.8</v>
      </c>
      <c r="H45" s="11">
        <v>8</v>
      </c>
      <c r="I45" s="11">
        <v>7</v>
      </c>
      <c r="J45" s="11">
        <v>62</v>
      </c>
      <c r="K45" s="11">
        <v>51</v>
      </c>
      <c r="L45" s="11">
        <v>82.3</v>
      </c>
      <c r="M45" s="11">
        <v>1</v>
      </c>
      <c r="N45" s="11">
        <v>0</v>
      </c>
      <c r="O45" s="11">
        <v>77354</v>
      </c>
      <c r="P45" s="11">
        <v>1</v>
      </c>
      <c r="Q45" s="11">
        <v>88</v>
      </c>
      <c r="R45" s="11">
        <v>46</v>
      </c>
      <c r="S45" s="13" t="s">
        <v>54</v>
      </c>
      <c r="T45" s="11" t="s">
        <v>86</v>
      </c>
      <c r="U45" s="11">
        <v>54.1</v>
      </c>
      <c r="V45" s="11">
        <v>1.6</v>
      </c>
      <c r="W45" s="11">
        <v>0</v>
      </c>
      <c r="X45" s="11">
        <v>82.3</v>
      </c>
      <c r="Y45" s="11">
        <v>1247.6500000000001</v>
      </c>
      <c r="Z45" s="11" t="b">
        <f>TRUE()</f>
        <v>1</v>
      </c>
    </row>
    <row r="46" spans="1:26" x14ac:dyDescent="0.3">
      <c r="A46" s="9" t="s">
        <v>166</v>
      </c>
      <c r="B46" s="9" t="s">
        <v>64</v>
      </c>
      <c r="C46" s="9" t="s">
        <v>65</v>
      </c>
      <c r="D46" s="9" t="s">
        <v>81</v>
      </c>
      <c r="E46" s="9" t="s">
        <v>167</v>
      </c>
      <c r="F46" s="9" t="s">
        <v>167</v>
      </c>
      <c r="G46" s="9">
        <v>7.9</v>
      </c>
      <c r="H46" s="9">
        <v>5</v>
      </c>
      <c r="I46" s="9">
        <v>6</v>
      </c>
      <c r="J46" s="9">
        <v>180</v>
      </c>
      <c r="K46" s="9">
        <v>118</v>
      </c>
      <c r="L46" s="9">
        <v>65.599999999999994</v>
      </c>
      <c r="M46" s="9">
        <v>22</v>
      </c>
      <c r="N46" s="9">
        <v>9</v>
      </c>
      <c r="O46" s="9">
        <v>68772</v>
      </c>
      <c r="P46" s="9">
        <v>9</v>
      </c>
      <c r="Q46" s="9">
        <v>95</v>
      </c>
      <c r="R46" s="9">
        <v>52</v>
      </c>
      <c r="S46" s="12" t="s">
        <v>37</v>
      </c>
      <c r="T46" s="9" t="s">
        <v>86</v>
      </c>
      <c r="U46" s="9">
        <v>63.3</v>
      </c>
      <c r="V46" s="9">
        <v>12.2</v>
      </c>
      <c r="W46" s="9">
        <v>5</v>
      </c>
      <c r="X46" s="9">
        <v>65.599999999999994</v>
      </c>
      <c r="Y46" s="9">
        <v>382.07</v>
      </c>
      <c r="Z46" s="9" t="b">
        <f>TRUE()</f>
        <v>1</v>
      </c>
    </row>
    <row r="47" spans="1:26" x14ac:dyDescent="0.3">
      <c r="A47" s="11" t="s">
        <v>168</v>
      </c>
      <c r="B47" s="11" t="s">
        <v>57</v>
      </c>
      <c r="C47" s="11" t="s">
        <v>47</v>
      </c>
      <c r="D47" s="11" t="s">
        <v>97</v>
      </c>
      <c r="E47" s="11" t="s">
        <v>169</v>
      </c>
      <c r="F47" s="11" t="s">
        <v>169</v>
      </c>
      <c r="G47" s="11">
        <v>17.600000000000001</v>
      </c>
      <c r="H47" s="11">
        <v>14</v>
      </c>
      <c r="I47" s="11">
        <v>7</v>
      </c>
      <c r="J47" s="11">
        <v>149</v>
      </c>
      <c r="K47" s="11">
        <v>125</v>
      </c>
      <c r="L47" s="11">
        <v>83.9</v>
      </c>
      <c r="M47" s="11">
        <v>0</v>
      </c>
      <c r="N47" s="11">
        <v>0</v>
      </c>
      <c r="O47" s="11">
        <v>66675</v>
      </c>
      <c r="P47" s="11">
        <v>1</v>
      </c>
      <c r="Q47" s="11">
        <v>83</v>
      </c>
      <c r="R47" s="11">
        <v>68</v>
      </c>
      <c r="S47" s="14" t="s">
        <v>67</v>
      </c>
      <c r="T47" s="11" t="s">
        <v>44</v>
      </c>
      <c r="U47" s="11">
        <v>79.5</v>
      </c>
      <c r="V47" s="11">
        <v>0</v>
      </c>
      <c r="W47" s="11">
        <v>0</v>
      </c>
      <c r="X47" s="11">
        <v>83.9</v>
      </c>
      <c r="Y47" s="11">
        <v>447.48</v>
      </c>
      <c r="Z47" s="11" t="b">
        <f>TRUE()</f>
        <v>1</v>
      </c>
    </row>
    <row r="48" spans="1:26" x14ac:dyDescent="0.3">
      <c r="A48" s="9" t="s">
        <v>170</v>
      </c>
      <c r="B48" s="9" t="s">
        <v>79</v>
      </c>
      <c r="C48" s="9" t="s">
        <v>80</v>
      </c>
      <c r="D48" s="9" t="s">
        <v>126</v>
      </c>
      <c r="E48" s="9" t="s">
        <v>171</v>
      </c>
      <c r="F48" s="9" t="s">
        <v>171</v>
      </c>
      <c r="G48" s="9">
        <v>15.5</v>
      </c>
      <c r="H48" s="9">
        <v>14</v>
      </c>
      <c r="I48" s="9">
        <v>8</v>
      </c>
      <c r="J48" s="9">
        <v>157</v>
      </c>
      <c r="K48" s="9">
        <v>141</v>
      </c>
      <c r="L48" s="9">
        <v>89.8</v>
      </c>
      <c r="M48" s="9">
        <v>14</v>
      </c>
      <c r="N48" s="9">
        <v>6</v>
      </c>
      <c r="O48" s="9">
        <v>66930</v>
      </c>
      <c r="P48" s="9">
        <v>9</v>
      </c>
      <c r="Q48" s="9">
        <v>78</v>
      </c>
      <c r="R48" s="9">
        <v>65</v>
      </c>
      <c r="S48" s="12" t="s">
        <v>37</v>
      </c>
      <c r="T48" s="9" t="s">
        <v>55</v>
      </c>
      <c r="U48" s="9">
        <v>90.3</v>
      </c>
      <c r="V48" s="9">
        <v>8.9</v>
      </c>
      <c r="W48" s="9">
        <v>3.8</v>
      </c>
      <c r="X48" s="9">
        <v>89.8</v>
      </c>
      <c r="Y48" s="9">
        <v>426.31</v>
      </c>
      <c r="Z48" s="9" t="b">
        <f>TRUE()</f>
        <v>1</v>
      </c>
    </row>
    <row r="49" spans="1:26" x14ac:dyDescent="0.3">
      <c r="A49" s="11" t="s">
        <v>172</v>
      </c>
      <c r="B49" s="11" t="s">
        <v>34</v>
      </c>
      <c r="C49" s="11" t="s">
        <v>28</v>
      </c>
      <c r="D49" s="11" t="s">
        <v>52</v>
      </c>
      <c r="E49" s="11" t="s">
        <v>173</v>
      </c>
      <c r="F49" s="11" t="s">
        <v>173</v>
      </c>
      <c r="G49" s="11">
        <v>21</v>
      </c>
      <c r="H49" s="11">
        <v>13</v>
      </c>
      <c r="I49" s="11">
        <v>5</v>
      </c>
      <c r="J49" s="11">
        <v>117</v>
      </c>
      <c r="K49" s="11">
        <v>82</v>
      </c>
      <c r="L49" s="11">
        <v>70.099999999999994</v>
      </c>
      <c r="M49" s="11">
        <v>15</v>
      </c>
      <c r="N49" s="11">
        <v>10</v>
      </c>
      <c r="O49" s="11">
        <v>18638</v>
      </c>
      <c r="P49" s="11">
        <v>3</v>
      </c>
      <c r="Q49" s="11">
        <v>81</v>
      </c>
      <c r="R49" s="11">
        <v>96</v>
      </c>
      <c r="S49" s="10" t="s">
        <v>31</v>
      </c>
      <c r="T49" s="11" t="s">
        <v>49</v>
      </c>
      <c r="U49" s="11">
        <v>61.9</v>
      </c>
      <c r="V49" s="11">
        <v>12.8</v>
      </c>
      <c r="W49" s="11">
        <v>8.5</v>
      </c>
      <c r="X49" s="11">
        <v>70.099999999999994</v>
      </c>
      <c r="Y49" s="11">
        <v>159.30000000000001</v>
      </c>
      <c r="Z49" s="11" t="b">
        <f>FALSE()</f>
        <v>0</v>
      </c>
    </row>
    <row r="50" spans="1:26" x14ac:dyDescent="0.3">
      <c r="A50" s="9" t="s">
        <v>174</v>
      </c>
      <c r="B50" s="9" t="s">
        <v>57</v>
      </c>
      <c r="C50" s="9" t="s">
        <v>47</v>
      </c>
      <c r="D50" s="9" t="s">
        <v>102</v>
      </c>
      <c r="E50" s="9" t="s">
        <v>175</v>
      </c>
      <c r="F50" s="9" t="s">
        <v>176</v>
      </c>
      <c r="G50" s="9">
        <v>25.5</v>
      </c>
      <c r="H50" s="9">
        <v>12</v>
      </c>
      <c r="I50" s="9">
        <v>1</v>
      </c>
      <c r="J50" s="9">
        <v>41</v>
      </c>
      <c r="K50" s="9">
        <v>27</v>
      </c>
      <c r="L50" s="9">
        <v>65.900000000000006</v>
      </c>
      <c r="M50" s="9">
        <v>3</v>
      </c>
      <c r="N50" s="9">
        <v>3</v>
      </c>
      <c r="O50" s="9">
        <v>46638</v>
      </c>
      <c r="P50" s="9">
        <v>3</v>
      </c>
      <c r="Q50" s="9">
        <v>92</v>
      </c>
      <c r="R50" s="9">
        <v>75</v>
      </c>
      <c r="S50" s="14" t="s">
        <v>67</v>
      </c>
      <c r="T50" s="9" t="s">
        <v>44</v>
      </c>
      <c r="U50" s="9">
        <v>47.1</v>
      </c>
      <c r="V50" s="9">
        <v>7.3</v>
      </c>
      <c r="W50" s="9">
        <v>7.3</v>
      </c>
      <c r="X50" s="9">
        <v>65.900000000000006</v>
      </c>
      <c r="Y50" s="9">
        <v>1137.51</v>
      </c>
      <c r="Z50" s="9" t="b">
        <f>TRUE()</f>
        <v>1</v>
      </c>
    </row>
    <row r="51" spans="1:26" x14ac:dyDescent="0.3">
      <c r="A51" s="11" t="s">
        <v>177</v>
      </c>
      <c r="B51" s="11" t="s">
        <v>178</v>
      </c>
      <c r="C51" s="11" t="s">
        <v>28</v>
      </c>
      <c r="D51" s="11" t="s">
        <v>58</v>
      </c>
      <c r="E51" s="11" t="s">
        <v>179</v>
      </c>
      <c r="F51" s="11" t="s">
        <v>179</v>
      </c>
      <c r="G51" s="11">
        <v>9.1</v>
      </c>
      <c r="H51" s="11">
        <v>7</v>
      </c>
      <c r="I51" s="11">
        <v>6</v>
      </c>
      <c r="J51" s="11">
        <v>82</v>
      </c>
      <c r="K51" s="11">
        <v>56</v>
      </c>
      <c r="L51" s="11">
        <v>68.3</v>
      </c>
      <c r="M51" s="11">
        <v>9</v>
      </c>
      <c r="N51" s="11">
        <v>5</v>
      </c>
      <c r="O51" s="11">
        <v>40495</v>
      </c>
      <c r="P51" s="11">
        <v>8</v>
      </c>
      <c r="Q51" s="11">
        <v>81</v>
      </c>
      <c r="R51" s="11">
        <v>72</v>
      </c>
      <c r="S51" s="13" t="s">
        <v>54</v>
      </c>
      <c r="T51" s="11" t="s">
        <v>77</v>
      </c>
      <c r="U51" s="11">
        <v>76.900000000000006</v>
      </c>
      <c r="V51" s="11">
        <v>11</v>
      </c>
      <c r="W51" s="11">
        <v>6.1</v>
      </c>
      <c r="X51" s="11">
        <v>68.3</v>
      </c>
      <c r="Y51" s="11">
        <v>493.84</v>
      </c>
      <c r="Z51" s="11" t="b">
        <f>TRUE()</f>
        <v>1</v>
      </c>
    </row>
    <row r="52" spans="1:26" x14ac:dyDescent="0.3">
      <c r="A52" s="9" t="s">
        <v>180</v>
      </c>
      <c r="B52" s="9" t="s">
        <v>64</v>
      </c>
      <c r="C52" s="9" t="s">
        <v>65</v>
      </c>
      <c r="D52" s="9" t="s">
        <v>102</v>
      </c>
      <c r="E52" s="9" t="s">
        <v>181</v>
      </c>
      <c r="F52" s="9" t="s">
        <v>181</v>
      </c>
      <c r="G52" s="9">
        <v>9.3000000000000007</v>
      </c>
      <c r="H52" s="9">
        <v>8</v>
      </c>
      <c r="I52" s="9">
        <v>5</v>
      </c>
      <c r="J52" s="9">
        <v>79</v>
      </c>
      <c r="K52" s="9">
        <v>47</v>
      </c>
      <c r="L52" s="9">
        <v>59.5</v>
      </c>
      <c r="M52" s="9">
        <v>3</v>
      </c>
      <c r="N52" s="9">
        <v>2</v>
      </c>
      <c r="O52" s="9">
        <v>13967</v>
      </c>
      <c r="P52" s="9">
        <v>8</v>
      </c>
      <c r="Q52" s="9">
        <v>94</v>
      </c>
      <c r="R52" s="9">
        <v>89</v>
      </c>
      <c r="S52" s="10" t="s">
        <v>31</v>
      </c>
      <c r="T52" s="9" t="s">
        <v>83</v>
      </c>
      <c r="U52" s="9">
        <v>86</v>
      </c>
      <c r="V52" s="9">
        <v>3.8</v>
      </c>
      <c r="W52" s="9">
        <v>2.5</v>
      </c>
      <c r="X52" s="9">
        <v>59.5</v>
      </c>
      <c r="Y52" s="9">
        <v>176.8</v>
      </c>
      <c r="Z52" s="9" t="b">
        <f>TRUE()</f>
        <v>1</v>
      </c>
    </row>
    <row r="53" spans="1:26" x14ac:dyDescent="0.3">
      <c r="A53" s="11" t="s">
        <v>182</v>
      </c>
      <c r="B53" s="11" t="s">
        <v>64</v>
      </c>
      <c r="C53" s="11" t="s">
        <v>65</v>
      </c>
      <c r="D53" s="11" t="s">
        <v>97</v>
      </c>
      <c r="E53" s="11" t="s">
        <v>92</v>
      </c>
      <c r="F53" s="11" t="s">
        <v>92</v>
      </c>
      <c r="G53" s="11">
        <v>23.8</v>
      </c>
      <c r="H53" s="11">
        <v>16</v>
      </c>
      <c r="I53" s="11">
        <v>5</v>
      </c>
      <c r="J53" s="11">
        <v>92</v>
      </c>
      <c r="K53" s="11">
        <v>91</v>
      </c>
      <c r="L53" s="11">
        <v>98.9</v>
      </c>
      <c r="M53" s="11">
        <v>13</v>
      </c>
      <c r="N53" s="11">
        <v>3</v>
      </c>
      <c r="O53" s="11">
        <v>27218</v>
      </c>
      <c r="P53" s="11">
        <v>5</v>
      </c>
      <c r="Q53" s="11">
        <v>75</v>
      </c>
      <c r="R53" s="11">
        <v>64</v>
      </c>
      <c r="S53" s="10" t="s">
        <v>31</v>
      </c>
      <c r="T53" s="11" t="s">
        <v>77</v>
      </c>
      <c r="U53" s="11">
        <v>67.2</v>
      </c>
      <c r="V53" s="11">
        <v>14.1</v>
      </c>
      <c r="W53" s="11">
        <v>3.3</v>
      </c>
      <c r="X53" s="11">
        <v>98.9</v>
      </c>
      <c r="Y53" s="11">
        <v>295.85000000000002</v>
      </c>
      <c r="Z53" s="11" t="b">
        <f>TRUE()</f>
        <v>1</v>
      </c>
    </row>
    <row r="54" spans="1:26" x14ac:dyDescent="0.3">
      <c r="A54" s="9" t="s">
        <v>183</v>
      </c>
      <c r="B54" s="9" t="s">
        <v>91</v>
      </c>
      <c r="C54" s="9" t="s">
        <v>71</v>
      </c>
      <c r="D54" s="9" t="s">
        <v>97</v>
      </c>
      <c r="E54" s="9" t="s">
        <v>98</v>
      </c>
      <c r="F54" s="9" t="s">
        <v>98</v>
      </c>
      <c r="G54" s="9">
        <v>13.7</v>
      </c>
      <c r="H54" s="9">
        <v>12</v>
      </c>
      <c r="I54" s="9">
        <v>1</v>
      </c>
      <c r="J54" s="9">
        <v>52</v>
      </c>
      <c r="K54" s="9">
        <v>43</v>
      </c>
      <c r="L54" s="9">
        <v>82.7</v>
      </c>
      <c r="M54" s="9">
        <v>7</v>
      </c>
      <c r="N54" s="9">
        <v>1</v>
      </c>
      <c r="O54" s="9">
        <v>70454</v>
      </c>
      <c r="P54" s="9">
        <v>9</v>
      </c>
      <c r="Q54" s="9">
        <v>79</v>
      </c>
      <c r="R54" s="9">
        <v>75</v>
      </c>
      <c r="S54" s="10" t="s">
        <v>31</v>
      </c>
      <c r="T54" s="9" t="s">
        <v>74</v>
      </c>
      <c r="U54" s="9">
        <v>87.6</v>
      </c>
      <c r="V54" s="9">
        <v>13.5</v>
      </c>
      <c r="W54" s="9">
        <v>1.9</v>
      </c>
      <c r="X54" s="9">
        <v>82.7</v>
      </c>
      <c r="Y54" s="9">
        <v>1354.88</v>
      </c>
      <c r="Z54" s="9" t="b">
        <f>TRUE()</f>
        <v>1</v>
      </c>
    </row>
    <row r="55" spans="1:26" x14ac:dyDescent="0.3">
      <c r="A55" s="11" t="s">
        <v>184</v>
      </c>
      <c r="B55" s="11" t="s">
        <v>40</v>
      </c>
      <c r="C55" s="11" t="s">
        <v>41</v>
      </c>
      <c r="D55" s="11" t="s">
        <v>42</v>
      </c>
      <c r="E55" s="11" t="s">
        <v>185</v>
      </c>
      <c r="F55" s="11" t="s">
        <v>185</v>
      </c>
      <c r="G55" s="11">
        <v>9.6999999999999993</v>
      </c>
      <c r="H55" s="11">
        <v>5</v>
      </c>
      <c r="I55" s="11">
        <v>7</v>
      </c>
      <c r="J55" s="11">
        <v>122</v>
      </c>
      <c r="K55" s="11">
        <v>94</v>
      </c>
      <c r="L55" s="11">
        <v>77</v>
      </c>
      <c r="M55" s="11">
        <v>18</v>
      </c>
      <c r="N55" s="11">
        <v>1</v>
      </c>
      <c r="O55" s="11">
        <v>16380</v>
      </c>
      <c r="P55" s="11">
        <v>9</v>
      </c>
      <c r="Q55" s="11">
        <v>79</v>
      </c>
      <c r="R55" s="11">
        <v>50</v>
      </c>
      <c r="S55" s="13" t="s">
        <v>54</v>
      </c>
      <c r="T55" s="11" t="s">
        <v>55</v>
      </c>
      <c r="U55" s="11">
        <v>51.5</v>
      </c>
      <c r="V55" s="11">
        <v>14.8</v>
      </c>
      <c r="W55" s="11">
        <v>0.8</v>
      </c>
      <c r="X55" s="11">
        <v>77</v>
      </c>
      <c r="Y55" s="11">
        <v>134.26</v>
      </c>
      <c r="Z55" s="11" t="b">
        <f>TRUE()</f>
        <v>1</v>
      </c>
    </row>
    <row r="56" spans="1:26" x14ac:dyDescent="0.3">
      <c r="A56" s="9" t="s">
        <v>186</v>
      </c>
      <c r="B56" s="9" t="s">
        <v>114</v>
      </c>
      <c r="C56" s="9" t="s">
        <v>115</v>
      </c>
      <c r="D56" s="9" t="s">
        <v>29</v>
      </c>
      <c r="E56" s="9" t="s">
        <v>187</v>
      </c>
      <c r="F56" s="9" t="s">
        <v>188</v>
      </c>
      <c r="G56" s="9">
        <v>26</v>
      </c>
      <c r="H56" s="9">
        <v>16</v>
      </c>
      <c r="I56" s="9">
        <v>4</v>
      </c>
      <c r="J56" s="9">
        <v>153</v>
      </c>
      <c r="K56" s="9">
        <v>110</v>
      </c>
      <c r="L56" s="9">
        <v>71.900000000000006</v>
      </c>
      <c r="M56" s="9">
        <v>14</v>
      </c>
      <c r="N56" s="9">
        <v>4</v>
      </c>
      <c r="O56" s="9">
        <v>69512</v>
      </c>
      <c r="P56" s="9">
        <v>6</v>
      </c>
      <c r="Q56" s="9">
        <v>79</v>
      </c>
      <c r="R56" s="9">
        <v>81</v>
      </c>
      <c r="S56" s="14" t="s">
        <v>67</v>
      </c>
      <c r="T56" s="9" t="s">
        <v>86</v>
      </c>
      <c r="U56" s="9">
        <v>61.5</v>
      </c>
      <c r="V56" s="9">
        <v>9.1999999999999993</v>
      </c>
      <c r="W56" s="9">
        <v>2.6</v>
      </c>
      <c r="X56" s="9">
        <v>71.900000000000006</v>
      </c>
      <c r="Y56" s="9">
        <v>454.33</v>
      </c>
      <c r="Z56" s="9" t="b">
        <f>FALSE()</f>
        <v>0</v>
      </c>
    </row>
    <row r="57" spans="1:26" x14ac:dyDescent="0.3">
      <c r="A57" s="11" t="s">
        <v>189</v>
      </c>
      <c r="B57" s="11" t="s">
        <v>27</v>
      </c>
      <c r="C57" s="11" t="s">
        <v>28</v>
      </c>
      <c r="D57" s="11" t="s">
        <v>81</v>
      </c>
      <c r="E57" s="11" t="s">
        <v>190</v>
      </c>
      <c r="F57" s="11" t="s">
        <v>190</v>
      </c>
      <c r="G57" s="11">
        <v>13.5</v>
      </c>
      <c r="H57" s="11">
        <v>8</v>
      </c>
      <c r="I57" s="11">
        <v>4</v>
      </c>
      <c r="J57" s="11">
        <v>60</v>
      </c>
      <c r="K57" s="11">
        <v>39</v>
      </c>
      <c r="L57" s="11">
        <v>65</v>
      </c>
      <c r="M57" s="11">
        <v>8</v>
      </c>
      <c r="N57" s="11">
        <v>1</v>
      </c>
      <c r="O57" s="11">
        <v>16740</v>
      </c>
      <c r="P57" s="11">
        <v>6</v>
      </c>
      <c r="Q57" s="11">
        <v>84</v>
      </c>
      <c r="R57" s="11">
        <v>89</v>
      </c>
      <c r="S57" s="14" t="s">
        <v>67</v>
      </c>
      <c r="T57" s="11" t="s">
        <v>49</v>
      </c>
      <c r="U57" s="11">
        <v>59.3</v>
      </c>
      <c r="V57" s="11">
        <v>13.3</v>
      </c>
      <c r="W57" s="11">
        <v>1.7</v>
      </c>
      <c r="X57" s="11">
        <v>65</v>
      </c>
      <c r="Y57" s="11">
        <v>279</v>
      </c>
      <c r="Z57" s="11" t="b">
        <f>FALSE()</f>
        <v>0</v>
      </c>
    </row>
    <row r="58" spans="1:26" x14ac:dyDescent="0.3">
      <c r="A58" s="9" t="s">
        <v>191</v>
      </c>
      <c r="B58" s="9" t="s">
        <v>40</v>
      </c>
      <c r="C58" s="9" t="s">
        <v>41</v>
      </c>
      <c r="D58" s="9" t="s">
        <v>35</v>
      </c>
      <c r="E58" s="9" t="s">
        <v>192</v>
      </c>
      <c r="F58" s="9" t="s">
        <v>192</v>
      </c>
      <c r="G58" s="9">
        <v>14</v>
      </c>
      <c r="H58" s="9">
        <v>8</v>
      </c>
      <c r="I58" s="9">
        <v>2</v>
      </c>
      <c r="J58" s="9">
        <v>136</v>
      </c>
      <c r="K58" s="9">
        <v>79</v>
      </c>
      <c r="L58" s="9">
        <v>58.1</v>
      </c>
      <c r="M58" s="9">
        <v>7</v>
      </c>
      <c r="N58" s="9">
        <v>4</v>
      </c>
      <c r="O58" s="9">
        <v>64087</v>
      </c>
      <c r="P58" s="9">
        <v>10</v>
      </c>
      <c r="Q58" s="9">
        <v>88</v>
      </c>
      <c r="R58" s="9">
        <v>87</v>
      </c>
      <c r="S58" s="12" t="s">
        <v>37</v>
      </c>
      <c r="T58" s="9" t="s">
        <v>83</v>
      </c>
      <c r="U58" s="9">
        <v>57.1</v>
      </c>
      <c r="V58" s="9">
        <v>5.0999999999999996</v>
      </c>
      <c r="W58" s="9">
        <v>2.9</v>
      </c>
      <c r="X58" s="9">
        <v>58.1</v>
      </c>
      <c r="Y58" s="9">
        <v>471.23</v>
      </c>
      <c r="Z58" s="9" t="b">
        <f>TRUE()</f>
        <v>1</v>
      </c>
    </row>
    <row r="59" spans="1:26" x14ac:dyDescent="0.3">
      <c r="A59" s="11" t="s">
        <v>193</v>
      </c>
      <c r="B59" s="11" t="s">
        <v>57</v>
      </c>
      <c r="C59" s="11" t="s">
        <v>47</v>
      </c>
      <c r="D59" s="11" t="s">
        <v>102</v>
      </c>
      <c r="E59" s="11" t="s">
        <v>194</v>
      </c>
      <c r="F59" s="11" t="s">
        <v>194</v>
      </c>
      <c r="G59" s="11">
        <v>12.9</v>
      </c>
      <c r="H59" s="11">
        <v>14</v>
      </c>
      <c r="I59" s="11">
        <v>2</v>
      </c>
      <c r="J59" s="11">
        <v>88</v>
      </c>
      <c r="K59" s="11">
        <v>81</v>
      </c>
      <c r="L59" s="11">
        <v>92</v>
      </c>
      <c r="M59" s="11">
        <v>1</v>
      </c>
      <c r="N59" s="11">
        <v>0</v>
      </c>
      <c r="O59" s="11">
        <v>17444</v>
      </c>
      <c r="P59" s="11">
        <v>4</v>
      </c>
      <c r="Q59" s="11">
        <v>89</v>
      </c>
      <c r="R59" s="11">
        <v>92</v>
      </c>
      <c r="S59" s="12" t="s">
        <v>37</v>
      </c>
      <c r="T59" s="11" t="s">
        <v>49</v>
      </c>
      <c r="U59" s="11">
        <v>100</v>
      </c>
      <c r="V59" s="11">
        <v>1.1000000000000001</v>
      </c>
      <c r="W59" s="11">
        <v>0</v>
      </c>
      <c r="X59" s="11">
        <v>92</v>
      </c>
      <c r="Y59" s="11">
        <v>198.23</v>
      </c>
      <c r="Z59" s="11" t="b">
        <f>FALSE()</f>
        <v>0</v>
      </c>
    </row>
    <row r="60" spans="1:26" x14ac:dyDescent="0.3">
      <c r="A60" s="9" t="s">
        <v>195</v>
      </c>
      <c r="B60" s="9" t="s">
        <v>96</v>
      </c>
      <c r="C60" s="9" t="s">
        <v>71</v>
      </c>
      <c r="D60" s="9" t="s">
        <v>81</v>
      </c>
      <c r="E60" s="9" t="s">
        <v>196</v>
      </c>
      <c r="F60" s="9" t="s">
        <v>196</v>
      </c>
      <c r="G60" s="9">
        <v>14</v>
      </c>
      <c r="H60" s="9">
        <v>8</v>
      </c>
      <c r="I60" s="9">
        <v>2</v>
      </c>
      <c r="J60" s="9">
        <v>89</v>
      </c>
      <c r="K60" s="9">
        <v>68</v>
      </c>
      <c r="L60" s="9">
        <v>76.400000000000006</v>
      </c>
      <c r="M60" s="9">
        <v>7</v>
      </c>
      <c r="N60" s="9">
        <v>7</v>
      </c>
      <c r="O60" s="9">
        <v>11033</v>
      </c>
      <c r="P60" s="9">
        <v>0</v>
      </c>
      <c r="Q60" s="9">
        <v>83</v>
      </c>
      <c r="R60" s="9">
        <v>92</v>
      </c>
      <c r="S60" s="10" t="s">
        <v>31</v>
      </c>
      <c r="T60" s="9" t="s">
        <v>49</v>
      </c>
      <c r="U60" s="9">
        <v>57.1</v>
      </c>
      <c r="V60" s="9">
        <v>7.9</v>
      </c>
      <c r="W60" s="9">
        <v>7.9</v>
      </c>
      <c r="X60" s="9">
        <v>76.400000000000006</v>
      </c>
      <c r="Y60" s="9">
        <v>123.97</v>
      </c>
      <c r="Z60" s="9" t="b">
        <f>FALSE()</f>
        <v>0</v>
      </c>
    </row>
    <row r="61" spans="1:26" x14ac:dyDescent="0.3">
      <c r="A61" s="11" t="s">
        <v>197</v>
      </c>
      <c r="B61" s="11" t="s">
        <v>34</v>
      </c>
      <c r="C61" s="11" t="s">
        <v>28</v>
      </c>
      <c r="D61" s="11" t="s">
        <v>97</v>
      </c>
      <c r="E61" s="11" t="s">
        <v>198</v>
      </c>
      <c r="F61" s="11" t="s">
        <v>198</v>
      </c>
      <c r="G61" s="11">
        <v>20.5</v>
      </c>
      <c r="H61" s="11">
        <v>13</v>
      </c>
      <c r="I61" s="11">
        <v>7</v>
      </c>
      <c r="J61" s="11">
        <v>25</v>
      </c>
      <c r="K61" s="11">
        <v>24</v>
      </c>
      <c r="L61" s="11">
        <v>96</v>
      </c>
      <c r="M61" s="11">
        <v>2</v>
      </c>
      <c r="N61" s="11">
        <v>2</v>
      </c>
      <c r="O61" s="11">
        <v>8017</v>
      </c>
      <c r="P61" s="11">
        <v>2</v>
      </c>
      <c r="Q61" s="11">
        <v>85</v>
      </c>
      <c r="R61" s="11">
        <v>78</v>
      </c>
      <c r="S61" s="14" t="s">
        <v>67</v>
      </c>
      <c r="T61" s="11" t="s">
        <v>49</v>
      </c>
      <c r="U61" s="11">
        <v>63.4</v>
      </c>
      <c r="V61" s="11">
        <v>8</v>
      </c>
      <c r="W61" s="11">
        <v>8</v>
      </c>
      <c r="X61" s="11">
        <v>96</v>
      </c>
      <c r="Y61" s="11">
        <v>320.68</v>
      </c>
      <c r="Z61" s="11" t="b">
        <f>TRUE()</f>
        <v>1</v>
      </c>
    </row>
    <row r="62" spans="1:26" x14ac:dyDescent="0.3">
      <c r="A62" s="9" t="s">
        <v>199</v>
      </c>
      <c r="B62" s="9" t="s">
        <v>27</v>
      </c>
      <c r="C62" s="9" t="s">
        <v>28</v>
      </c>
      <c r="D62" s="9" t="s">
        <v>81</v>
      </c>
      <c r="E62" s="9" t="s">
        <v>200</v>
      </c>
      <c r="F62" s="9" t="s">
        <v>200</v>
      </c>
      <c r="G62" s="9">
        <v>7</v>
      </c>
      <c r="H62" s="9">
        <v>5</v>
      </c>
      <c r="I62" s="9">
        <v>8</v>
      </c>
      <c r="J62" s="9">
        <v>124</v>
      </c>
      <c r="K62" s="9">
        <v>86</v>
      </c>
      <c r="L62" s="9">
        <v>69.400000000000006</v>
      </c>
      <c r="M62" s="9">
        <v>3</v>
      </c>
      <c r="N62" s="9">
        <v>1</v>
      </c>
      <c r="O62" s="9">
        <v>29735</v>
      </c>
      <c r="P62" s="9">
        <v>7</v>
      </c>
      <c r="Q62" s="9">
        <v>79</v>
      </c>
      <c r="R62" s="9">
        <v>87</v>
      </c>
      <c r="S62" s="13" t="s">
        <v>54</v>
      </c>
      <c r="T62" s="9" t="s">
        <v>77</v>
      </c>
      <c r="U62" s="9">
        <v>71.400000000000006</v>
      </c>
      <c r="V62" s="9">
        <v>2.4</v>
      </c>
      <c r="W62" s="9">
        <v>0.8</v>
      </c>
      <c r="X62" s="9">
        <v>69.400000000000006</v>
      </c>
      <c r="Y62" s="9">
        <v>239.8</v>
      </c>
      <c r="Z62" s="9" t="b">
        <f>FALSE()</f>
        <v>0</v>
      </c>
    </row>
    <row r="63" spans="1:26" x14ac:dyDescent="0.3">
      <c r="A63" s="11" t="s">
        <v>201</v>
      </c>
      <c r="B63" s="11" t="s">
        <v>178</v>
      </c>
      <c r="C63" s="11" t="s">
        <v>28</v>
      </c>
      <c r="D63" s="11" t="s">
        <v>102</v>
      </c>
      <c r="E63" s="11" t="s">
        <v>202</v>
      </c>
      <c r="F63" s="11" t="s">
        <v>202</v>
      </c>
      <c r="G63" s="11">
        <v>9.5</v>
      </c>
      <c r="H63" s="11">
        <v>8</v>
      </c>
      <c r="I63" s="11">
        <v>1</v>
      </c>
      <c r="J63" s="11">
        <v>123</v>
      </c>
      <c r="K63" s="11">
        <v>115</v>
      </c>
      <c r="L63" s="11">
        <v>93.5</v>
      </c>
      <c r="M63" s="11">
        <v>0</v>
      </c>
      <c r="N63" s="11">
        <v>0</v>
      </c>
      <c r="O63" s="11">
        <v>35994</v>
      </c>
      <c r="P63" s="11">
        <v>3</v>
      </c>
      <c r="Q63" s="11">
        <v>86</v>
      </c>
      <c r="R63" s="11">
        <v>68</v>
      </c>
      <c r="S63" s="14" t="s">
        <v>67</v>
      </c>
      <c r="T63" s="11" t="s">
        <v>44</v>
      </c>
      <c r="U63" s="11">
        <v>84.2</v>
      </c>
      <c r="V63" s="11">
        <v>0</v>
      </c>
      <c r="W63" s="11">
        <v>0</v>
      </c>
      <c r="X63" s="11">
        <v>93.5</v>
      </c>
      <c r="Y63" s="11">
        <v>292.63</v>
      </c>
      <c r="Z63" s="11" t="b">
        <f>TRUE()</f>
        <v>1</v>
      </c>
    </row>
    <row r="64" spans="1:26" x14ac:dyDescent="0.3">
      <c r="A64" s="9" t="s">
        <v>203</v>
      </c>
      <c r="B64" s="9" t="s">
        <v>34</v>
      </c>
      <c r="C64" s="9" t="s">
        <v>28</v>
      </c>
      <c r="D64" s="9" t="s">
        <v>126</v>
      </c>
      <c r="E64" s="9" t="s">
        <v>204</v>
      </c>
      <c r="F64" s="9" t="s">
        <v>204</v>
      </c>
      <c r="G64" s="9">
        <v>10.8</v>
      </c>
      <c r="H64" s="9">
        <v>12</v>
      </c>
      <c r="I64" s="9">
        <v>1</v>
      </c>
      <c r="J64" s="9">
        <v>93</v>
      </c>
      <c r="K64" s="9">
        <v>69</v>
      </c>
      <c r="L64" s="9">
        <v>74.2</v>
      </c>
      <c r="M64" s="9">
        <v>11</v>
      </c>
      <c r="N64" s="9">
        <v>7</v>
      </c>
      <c r="O64" s="9">
        <v>14107</v>
      </c>
      <c r="P64" s="9">
        <v>10</v>
      </c>
      <c r="Q64" s="9">
        <v>89</v>
      </c>
      <c r="R64" s="9">
        <v>96</v>
      </c>
      <c r="S64" s="10" t="s">
        <v>31</v>
      </c>
      <c r="T64" s="9" t="s">
        <v>38</v>
      </c>
      <c r="U64" s="9">
        <v>100</v>
      </c>
      <c r="V64" s="9">
        <v>11.8</v>
      </c>
      <c r="W64" s="9">
        <v>7.5</v>
      </c>
      <c r="X64" s="9">
        <v>74.2</v>
      </c>
      <c r="Y64" s="9">
        <v>151.69</v>
      </c>
      <c r="Z64" s="9" t="b">
        <f>FALSE()</f>
        <v>0</v>
      </c>
    </row>
    <row r="65" spans="1:26" x14ac:dyDescent="0.3">
      <c r="A65" s="11" t="s">
        <v>205</v>
      </c>
      <c r="B65" s="11" t="s">
        <v>57</v>
      </c>
      <c r="C65" s="11" t="s">
        <v>47</v>
      </c>
      <c r="D65" s="11" t="s">
        <v>102</v>
      </c>
      <c r="E65" s="11" t="s">
        <v>155</v>
      </c>
      <c r="F65" s="11" t="s">
        <v>155</v>
      </c>
      <c r="G65" s="11">
        <v>5.2</v>
      </c>
      <c r="H65" s="11">
        <v>5</v>
      </c>
      <c r="I65" s="11">
        <v>4</v>
      </c>
      <c r="J65" s="11">
        <v>49</v>
      </c>
      <c r="K65" s="11">
        <v>37</v>
      </c>
      <c r="L65" s="11">
        <v>75.5</v>
      </c>
      <c r="M65" s="11">
        <v>1</v>
      </c>
      <c r="N65" s="11">
        <v>0</v>
      </c>
      <c r="O65" s="11">
        <v>42378</v>
      </c>
      <c r="P65" s="11">
        <v>4</v>
      </c>
      <c r="Q65" s="11">
        <v>86</v>
      </c>
      <c r="R65" s="11">
        <v>90</v>
      </c>
      <c r="S65" s="10" t="s">
        <v>31</v>
      </c>
      <c r="T65" s="11" t="s">
        <v>44</v>
      </c>
      <c r="U65" s="11">
        <v>96.2</v>
      </c>
      <c r="V65" s="11">
        <v>2</v>
      </c>
      <c r="W65" s="11">
        <v>0</v>
      </c>
      <c r="X65" s="11">
        <v>75.5</v>
      </c>
      <c r="Y65" s="11">
        <v>864.86</v>
      </c>
      <c r="Z65" s="11" t="b">
        <f>FALSE()</f>
        <v>0</v>
      </c>
    </row>
    <row r="66" spans="1:26" x14ac:dyDescent="0.3">
      <c r="A66" s="9" t="s">
        <v>206</v>
      </c>
      <c r="B66" s="9" t="s">
        <v>96</v>
      </c>
      <c r="C66" s="9" t="s">
        <v>71</v>
      </c>
      <c r="D66" s="9" t="s">
        <v>126</v>
      </c>
      <c r="E66" s="9" t="s">
        <v>124</v>
      </c>
      <c r="F66" s="9" t="s">
        <v>124</v>
      </c>
      <c r="G66" s="9">
        <v>7.7</v>
      </c>
      <c r="H66" s="9">
        <v>6</v>
      </c>
      <c r="I66" s="9">
        <v>5</v>
      </c>
      <c r="J66" s="9">
        <v>173</v>
      </c>
      <c r="K66" s="9">
        <v>134</v>
      </c>
      <c r="L66" s="9">
        <v>77.5</v>
      </c>
      <c r="M66" s="9">
        <v>4</v>
      </c>
      <c r="N66" s="9">
        <v>0</v>
      </c>
      <c r="O66" s="9">
        <v>25719</v>
      </c>
      <c r="P66" s="9">
        <v>6</v>
      </c>
      <c r="Q66" s="9">
        <v>80</v>
      </c>
      <c r="R66" s="9">
        <v>95</v>
      </c>
      <c r="S66" s="14" t="s">
        <v>67</v>
      </c>
      <c r="T66" s="9" t="s">
        <v>32</v>
      </c>
      <c r="U66" s="9">
        <v>77.900000000000006</v>
      </c>
      <c r="V66" s="9">
        <v>2.2999999999999998</v>
      </c>
      <c r="W66" s="9">
        <v>0</v>
      </c>
      <c r="X66" s="9">
        <v>77.5</v>
      </c>
      <c r="Y66" s="9">
        <v>148.66</v>
      </c>
      <c r="Z66" s="9" t="b">
        <f>FALSE()</f>
        <v>0</v>
      </c>
    </row>
    <row r="67" spans="1:26" x14ac:dyDescent="0.3">
      <c r="A67" s="11" t="s">
        <v>207</v>
      </c>
      <c r="B67" s="11" t="s">
        <v>51</v>
      </c>
      <c r="C67" s="11" t="s">
        <v>28</v>
      </c>
      <c r="D67" s="11" t="s">
        <v>58</v>
      </c>
      <c r="E67" s="11" t="s">
        <v>208</v>
      </c>
      <c r="F67" s="11" t="s">
        <v>92</v>
      </c>
      <c r="G67" s="11">
        <v>28.6</v>
      </c>
      <c r="H67" s="11">
        <v>13</v>
      </c>
      <c r="I67" s="11">
        <v>4</v>
      </c>
      <c r="J67" s="11">
        <v>145</v>
      </c>
      <c r="K67" s="11">
        <v>136</v>
      </c>
      <c r="L67" s="11">
        <v>93.8</v>
      </c>
      <c r="M67" s="11">
        <v>14</v>
      </c>
      <c r="N67" s="11">
        <v>8</v>
      </c>
      <c r="O67" s="11">
        <v>41326</v>
      </c>
      <c r="P67" s="11">
        <v>5</v>
      </c>
      <c r="Q67" s="11">
        <v>87</v>
      </c>
      <c r="R67" s="11">
        <v>93</v>
      </c>
      <c r="S67" s="14" t="s">
        <v>67</v>
      </c>
      <c r="T67" s="11" t="s">
        <v>44</v>
      </c>
      <c r="U67" s="11">
        <v>45.5</v>
      </c>
      <c r="V67" s="11">
        <v>9.6999999999999993</v>
      </c>
      <c r="W67" s="11">
        <v>5.5</v>
      </c>
      <c r="X67" s="11">
        <v>93.8</v>
      </c>
      <c r="Y67" s="11">
        <v>285.01</v>
      </c>
      <c r="Z67" s="11" t="b">
        <f>FALSE()</f>
        <v>0</v>
      </c>
    </row>
    <row r="68" spans="1:26" x14ac:dyDescent="0.3">
      <c r="A68" s="9" t="s">
        <v>209</v>
      </c>
      <c r="B68" s="9" t="s">
        <v>64</v>
      </c>
      <c r="C68" s="9" t="s">
        <v>65</v>
      </c>
      <c r="D68" s="9" t="s">
        <v>102</v>
      </c>
      <c r="E68" s="9" t="s">
        <v>153</v>
      </c>
      <c r="F68" s="9" t="s">
        <v>153</v>
      </c>
      <c r="G68" s="9">
        <v>16.600000000000001</v>
      </c>
      <c r="H68" s="9">
        <v>13</v>
      </c>
      <c r="I68" s="9">
        <v>1</v>
      </c>
      <c r="J68" s="9">
        <v>125</v>
      </c>
      <c r="K68" s="9">
        <v>71</v>
      </c>
      <c r="L68" s="9">
        <v>56.8</v>
      </c>
      <c r="M68" s="9">
        <v>15</v>
      </c>
      <c r="N68" s="9">
        <v>12</v>
      </c>
      <c r="O68" s="9">
        <v>33956</v>
      </c>
      <c r="P68" s="9">
        <v>10</v>
      </c>
      <c r="Q68" s="9">
        <v>95</v>
      </c>
      <c r="R68" s="9">
        <v>97</v>
      </c>
      <c r="S68" s="14" t="s">
        <v>67</v>
      </c>
      <c r="T68" s="9" t="s">
        <v>38</v>
      </c>
      <c r="U68" s="9">
        <v>78.3</v>
      </c>
      <c r="V68" s="9">
        <v>12</v>
      </c>
      <c r="W68" s="9">
        <v>9.6</v>
      </c>
      <c r="X68" s="9">
        <v>56.8</v>
      </c>
      <c r="Y68" s="9">
        <v>271.64999999999998</v>
      </c>
      <c r="Z68" s="9" t="b">
        <f>FALSE()</f>
        <v>0</v>
      </c>
    </row>
    <row r="69" spans="1:26" x14ac:dyDescent="0.3">
      <c r="A69" s="11" t="s">
        <v>210</v>
      </c>
      <c r="B69" s="11" t="s">
        <v>79</v>
      </c>
      <c r="C69" s="11" t="s">
        <v>80</v>
      </c>
      <c r="D69" s="11" t="s">
        <v>29</v>
      </c>
      <c r="E69" s="11" t="s">
        <v>211</v>
      </c>
      <c r="F69" s="11" t="s">
        <v>211</v>
      </c>
      <c r="G69" s="11">
        <v>15.6</v>
      </c>
      <c r="H69" s="11">
        <v>13</v>
      </c>
      <c r="I69" s="11">
        <v>8</v>
      </c>
      <c r="J69" s="11">
        <v>45</v>
      </c>
      <c r="K69" s="11">
        <v>42</v>
      </c>
      <c r="L69" s="11">
        <v>93.3</v>
      </c>
      <c r="M69" s="11">
        <v>3</v>
      </c>
      <c r="N69" s="11">
        <v>0</v>
      </c>
      <c r="O69" s="11">
        <v>44446</v>
      </c>
      <c r="P69" s="11">
        <v>7</v>
      </c>
      <c r="Q69" s="11">
        <v>70</v>
      </c>
      <c r="R69" s="11">
        <v>91</v>
      </c>
      <c r="S69" s="10" t="s">
        <v>31</v>
      </c>
      <c r="T69" s="11" t="s">
        <v>38</v>
      </c>
      <c r="U69" s="11">
        <v>83.3</v>
      </c>
      <c r="V69" s="11">
        <v>6.7</v>
      </c>
      <c r="W69" s="11">
        <v>0</v>
      </c>
      <c r="X69" s="11">
        <v>93.3</v>
      </c>
      <c r="Y69" s="11">
        <v>987.69</v>
      </c>
      <c r="Z69" s="11" t="b">
        <f>FALSE()</f>
        <v>0</v>
      </c>
    </row>
    <row r="70" spans="1:26" x14ac:dyDescent="0.3">
      <c r="A70" s="9" t="s">
        <v>212</v>
      </c>
      <c r="B70" s="9" t="s">
        <v>129</v>
      </c>
      <c r="C70" s="9" t="s">
        <v>71</v>
      </c>
      <c r="D70" s="9" t="s">
        <v>42</v>
      </c>
      <c r="E70" s="9" t="s">
        <v>213</v>
      </c>
      <c r="F70" s="9" t="s">
        <v>213</v>
      </c>
      <c r="G70" s="9">
        <v>14.7</v>
      </c>
      <c r="H70" s="9">
        <v>9</v>
      </c>
      <c r="I70" s="9">
        <v>1</v>
      </c>
      <c r="J70" s="9">
        <v>121</v>
      </c>
      <c r="K70" s="9">
        <v>101</v>
      </c>
      <c r="L70" s="9">
        <v>83.5</v>
      </c>
      <c r="M70" s="9">
        <v>10</v>
      </c>
      <c r="N70" s="9">
        <v>10</v>
      </c>
      <c r="O70" s="9">
        <v>69451</v>
      </c>
      <c r="P70" s="9">
        <v>6</v>
      </c>
      <c r="Q70" s="9">
        <v>80</v>
      </c>
      <c r="R70" s="9">
        <v>85</v>
      </c>
      <c r="S70" s="14" t="s">
        <v>67</v>
      </c>
      <c r="T70" s="9" t="s">
        <v>44</v>
      </c>
      <c r="U70" s="9">
        <v>61.2</v>
      </c>
      <c r="V70" s="9">
        <v>8.3000000000000007</v>
      </c>
      <c r="W70" s="9">
        <v>8.3000000000000007</v>
      </c>
      <c r="X70" s="9">
        <v>83.5</v>
      </c>
      <c r="Y70" s="9">
        <v>573.98</v>
      </c>
      <c r="Z70" s="9" t="b">
        <f>FALSE()</f>
        <v>0</v>
      </c>
    </row>
    <row r="71" spans="1:26" x14ac:dyDescent="0.3">
      <c r="A71" s="11" t="s">
        <v>214</v>
      </c>
      <c r="B71" s="11" t="s">
        <v>114</v>
      </c>
      <c r="C71" s="11" t="s">
        <v>115</v>
      </c>
      <c r="D71" s="11" t="s">
        <v>102</v>
      </c>
      <c r="E71" s="11" t="s">
        <v>215</v>
      </c>
      <c r="F71" s="11" t="s">
        <v>215</v>
      </c>
      <c r="G71" s="11">
        <v>11.5</v>
      </c>
      <c r="H71" s="11">
        <v>7</v>
      </c>
      <c r="I71" s="11">
        <v>3</v>
      </c>
      <c r="J71" s="11">
        <v>93</v>
      </c>
      <c r="K71" s="11">
        <v>92</v>
      </c>
      <c r="L71" s="11">
        <v>98.9</v>
      </c>
      <c r="M71" s="11">
        <v>11</v>
      </c>
      <c r="N71" s="11">
        <v>1</v>
      </c>
      <c r="O71" s="11">
        <v>37548</v>
      </c>
      <c r="P71" s="11">
        <v>1</v>
      </c>
      <c r="Q71" s="11">
        <v>94</v>
      </c>
      <c r="R71" s="11">
        <v>85</v>
      </c>
      <c r="S71" s="14" t="s">
        <v>67</v>
      </c>
      <c r="T71" s="11" t="s">
        <v>55</v>
      </c>
      <c r="U71" s="11">
        <v>60.9</v>
      </c>
      <c r="V71" s="11">
        <v>11.8</v>
      </c>
      <c r="W71" s="11">
        <v>1.1000000000000001</v>
      </c>
      <c r="X71" s="11">
        <v>98.9</v>
      </c>
      <c r="Y71" s="11">
        <v>403.74</v>
      </c>
      <c r="Z71" s="11" t="b">
        <f>TRUE()</f>
        <v>1</v>
      </c>
    </row>
    <row r="72" spans="1:26" x14ac:dyDescent="0.3">
      <c r="A72" s="9" t="s">
        <v>216</v>
      </c>
      <c r="B72" s="9" t="s">
        <v>64</v>
      </c>
      <c r="C72" s="9" t="s">
        <v>65</v>
      </c>
      <c r="D72" s="9" t="s">
        <v>97</v>
      </c>
      <c r="E72" s="9" t="s">
        <v>217</v>
      </c>
      <c r="F72" s="9" t="s">
        <v>217</v>
      </c>
      <c r="G72" s="9">
        <v>3.1</v>
      </c>
      <c r="H72" s="9">
        <v>4</v>
      </c>
      <c r="I72" s="9">
        <v>3</v>
      </c>
      <c r="J72" s="9">
        <v>34</v>
      </c>
      <c r="K72" s="9">
        <v>23</v>
      </c>
      <c r="L72" s="9">
        <v>67.599999999999994</v>
      </c>
      <c r="M72" s="9">
        <v>2</v>
      </c>
      <c r="N72" s="9">
        <v>1</v>
      </c>
      <c r="O72" s="9">
        <v>15918</v>
      </c>
      <c r="P72" s="9">
        <v>8</v>
      </c>
      <c r="Q72" s="9">
        <v>83</v>
      </c>
      <c r="R72" s="9">
        <v>81</v>
      </c>
      <c r="S72" s="14" t="s">
        <v>67</v>
      </c>
      <c r="T72" s="9" t="s">
        <v>38</v>
      </c>
      <c r="U72" s="9">
        <v>100</v>
      </c>
      <c r="V72" s="9">
        <v>5.9</v>
      </c>
      <c r="W72" s="9">
        <v>2.9</v>
      </c>
      <c r="X72" s="9">
        <v>67.599999999999994</v>
      </c>
      <c r="Y72" s="9">
        <v>468.18</v>
      </c>
      <c r="Z72" s="9" t="b">
        <f>TRUE()</f>
        <v>1</v>
      </c>
    </row>
    <row r="73" spans="1:26" x14ac:dyDescent="0.3">
      <c r="A73" s="11" t="s">
        <v>218</v>
      </c>
      <c r="B73" s="11" t="s">
        <v>178</v>
      </c>
      <c r="C73" s="11" t="s">
        <v>28</v>
      </c>
      <c r="D73" s="11" t="s">
        <v>102</v>
      </c>
      <c r="E73" s="11" t="s">
        <v>219</v>
      </c>
      <c r="F73" s="11" t="s">
        <v>219</v>
      </c>
      <c r="G73" s="11">
        <v>16.3</v>
      </c>
      <c r="H73" s="11">
        <v>10</v>
      </c>
      <c r="I73" s="11">
        <v>5</v>
      </c>
      <c r="J73" s="11">
        <v>81</v>
      </c>
      <c r="K73" s="11">
        <v>62</v>
      </c>
      <c r="L73" s="11">
        <v>76.5</v>
      </c>
      <c r="M73" s="11">
        <v>9</v>
      </c>
      <c r="N73" s="11">
        <v>2</v>
      </c>
      <c r="O73" s="11">
        <v>22414</v>
      </c>
      <c r="P73" s="11">
        <v>10</v>
      </c>
      <c r="Q73" s="11">
        <v>78</v>
      </c>
      <c r="R73" s="11">
        <v>74</v>
      </c>
      <c r="S73" s="10" t="s">
        <v>31</v>
      </c>
      <c r="T73" s="11" t="s">
        <v>32</v>
      </c>
      <c r="U73" s="11">
        <v>61.3</v>
      </c>
      <c r="V73" s="11">
        <v>11.1</v>
      </c>
      <c r="W73" s="11">
        <v>2.5</v>
      </c>
      <c r="X73" s="11">
        <v>76.5</v>
      </c>
      <c r="Y73" s="11">
        <v>276.72000000000003</v>
      </c>
      <c r="Z73" s="11" t="b">
        <f>TRUE()</f>
        <v>1</v>
      </c>
    </row>
    <row r="74" spans="1:26" x14ac:dyDescent="0.3">
      <c r="A74" s="9" t="s">
        <v>220</v>
      </c>
      <c r="B74" s="9" t="s">
        <v>27</v>
      </c>
      <c r="C74" s="9" t="s">
        <v>28</v>
      </c>
      <c r="D74" s="9" t="s">
        <v>29</v>
      </c>
      <c r="E74" s="9" t="s">
        <v>221</v>
      </c>
      <c r="F74" s="9" t="s">
        <v>221</v>
      </c>
      <c r="G74" s="9">
        <v>4.9000000000000004</v>
      </c>
      <c r="H74" s="9">
        <v>6</v>
      </c>
      <c r="I74" s="9">
        <v>4</v>
      </c>
      <c r="J74" s="9">
        <v>108</v>
      </c>
      <c r="K74" s="9">
        <v>107</v>
      </c>
      <c r="L74" s="9">
        <v>99.1</v>
      </c>
      <c r="M74" s="9">
        <v>9</v>
      </c>
      <c r="N74" s="9">
        <v>6</v>
      </c>
      <c r="O74" s="9">
        <v>56774</v>
      </c>
      <c r="P74" s="9">
        <v>7</v>
      </c>
      <c r="Q74" s="9">
        <v>79</v>
      </c>
      <c r="R74" s="9">
        <v>57</v>
      </c>
      <c r="S74" s="13" t="s">
        <v>54</v>
      </c>
      <c r="T74" s="9" t="s">
        <v>44</v>
      </c>
      <c r="U74" s="9">
        <v>100</v>
      </c>
      <c r="V74" s="9">
        <v>8.3000000000000007</v>
      </c>
      <c r="W74" s="9">
        <v>5.6</v>
      </c>
      <c r="X74" s="9">
        <v>99.1</v>
      </c>
      <c r="Y74" s="9">
        <v>525.69000000000005</v>
      </c>
      <c r="Z74" s="9" t="b">
        <f>TRUE()</f>
        <v>1</v>
      </c>
    </row>
    <row r="75" spans="1:26" x14ac:dyDescent="0.3">
      <c r="A75" s="11" t="s">
        <v>222</v>
      </c>
      <c r="B75" s="11" t="s">
        <v>70</v>
      </c>
      <c r="C75" s="11" t="s">
        <v>71</v>
      </c>
      <c r="D75" s="11" t="s">
        <v>52</v>
      </c>
      <c r="E75" s="11" t="s">
        <v>223</v>
      </c>
      <c r="F75" s="11" t="s">
        <v>223</v>
      </c>
      <c r="G75" s="11">
        <v>14.1</v>
      </c>
      <c r="H75" s="11">
        <v>9</v>
      </c>
      <c r="I75" s="11">
        <v>8</v>
      </c>
      <c r="J75" s="11">
        <v>199</v>
      </c>
      <c r="K75" s="11">
        <v>135</v>
      </c>
      <c r="L75" s="11">
        <v>67.8</v>
      </c>
      <c r="M75" s="11">
        <v>26</v>
      </c>
      <c r="N75" s="11">
        <v>21</v>
      </c>
      <c r="O75" s="11">
        <v>34685</v>
      </c>
      <c r="P75" s="11">
        <v>0</v>
      </c>
      <c r="Q75" s="11">
        <v>88</v>
      </c>
      <c r="R75" s="11">
        <v>100</v>
      </c>
      <c r="S75" s="14" t="s">
        <v>67</v>
      </c>
      <c r="T75" s="11" t="s">
        <v>32</v>
      </c>
      <c r="U75" s="11">
        <v>63.8</v>
      </c>
      <c r="V75" s="11">
        <v>13.1</v>
      </c>
      <c r="W75" s="11">
        <v>10.6</v>
      </c>
      <c r="X75" s="11">
        <v>67.8</v>
      </c>
      <c r="Y75" s="11">
        <v>174.3</v>
      </c>
      <c r="Z75" s="11" t="b">
        <f>FALSE()</f>
        <v>0</v>
      </c>
    </row>
    <row r="76" spans="1:26" x14ac:dyDescent="0.3">
      <c r="A76" s="9" t="s">
        <v>224</v>
      </c>
      <c r="B76" s="9" t="s">
        <v>51</v>
      </c>
      <c r="C76" s="9" t="s">
        <v>28</v>
      </c>
      <c r="D76" s="9" t="s">
        <v>29</v>
      </c>
      <c r="E76" s="9" t="s">
        <v>225</v>
      </c>
      <c r="F76" s="9" t="s">
        <v>226</v>
      </c>
      <c r="G76" s="9">
        <v>30.4</v>
      </c>
      <c r="H76" s="9">
        <v>16</v>
      </c>
      <c r="I76" s="9">
        <v>1</v>
      </c>
      <c r="J76" s="9">
        <v>175</v>
      </c>
      <c r="K76" s="9">
        <v>159</v>
      </c>
      <c r="L76" s="9">
        <v>90.9</v>
      </c>
      <c r="M76" s="9">
        <v>7</v>
      </c>
      <c r="N76" s="9">
        <v>3</v>
      </c>
      <c r="O76" s="9">
        <v>51567</v>
      </c>
      <c r="P76" s="9">
        <v>10</v>
      </c>
      <c r="Q76" s="9">
        <v>94</v>
      </c>
      <c r="R76" s="9">
        <v>91</v>
      </c>
      <c r="S76" s="12" t="s">
        <v>37</v>
      </c>
      <c r="T76" s="9" t="s">
        <v>38</v>
      </c>
      <c r="U76" s="9">
        <v>52.6</v>
      </c>
      <c r="V76" s="9">
        <v>4</v>
      </c>
      <c r="W76" s="9">
        <v>1.7</v>
      </c>
      <c r="X76" s="9">
        <v>90.9</v>
      </c>
      <c r="Y76" s="9">
        <v>294.67</v>
      </c>
      <c r="Z76" s="9" t="b">
        <f>TRUE()</f>
        <v>1</v>
      </c>
    </row>
    <row r="77" spans="1:26" x14ac:dyDescent="0.3">
      <c r="A77" s="11" t="s">
        <v>227</v>
      </c>
      <c r="B77" s="11" t="s">
        <v>40</v>
      </c>
      <c r="C77" s="11" t="s">
        <v>41</v>
      </c>
      <c r="D77" s="11" t="s">
        <v>42</v>
      </c>
      <c r="E77" s="11" t="s">
        <v>228</v>
      </c>
      <c r="F77" s="11" t="s">
        <v>228</v>
      </c>
      <c r="G77" s="11">
        <v>6.3</v>
      </c>
      <c r="H77" s="11">
        <v>4</v>
      </c>
      <c r="I77" s="11">
        <v>5</v>
      </c>
      <c r="J77" s="11">
        <v>53</v>
      </c>
      <c r="K77" s="11">
        <v>31</v>
      </c>
      <c r="L77" s="11">
        <v>58.5</v>
      </c>
      <c r="M77" s="11">
        <v>4</v>
      </c>
      <c r="N77" s="11">
        <v>2</v>
      </c>
      <c r="O77" s="11">
        <v>61061</v>
      </c>
      <c r="P77" s="11">
        <v>2</v>
      </c>
      <c r="Q77" s="11">
        <v>76</v>
      </c>
      <c r="R77" s="11">
        <v>53</v>
      </c>
      <c r="S77" s="12" t="s">
        <v>37</v>
      </c>
      <c r="T77" s="11" t="s">
        <v>74</v>
      </c>
      <c r="U77" s="11">
        <v>63.5</v>
      </c>
      <c r="V77" s="11">
        <v>7.5</v>
      </c>
      <c r="W77" s="11">
        <v>3.8</v>
      </c>
      <c r="X77" s="11">
        <v>58.5</v>
      </c>
      <c r="Y77" s="11">
        <v>1152.0899999999999</v>
      </c>
      <c r="Z77" s="11" t="b">
        <f>TRUE()</f>
        <v>1</v>
      </c>
    </row>
    <row r="78" spans="1:26" x14ac:dyDescent="0.3">
      <c r="A78" s="9" t="s">
        <v>229</v>
      </c>
      <c r="B78" s="9" t="s">
        <v>51</v>
      </c>
      <c r="C78" s="9" t="s">
        <v>28</v>
      </c>
      <c r="D78" s="9" t="s">
        <v>35</v>
      </c>
      <c r="E78" s="9" t="s">
        <v>230</v>
      </c>
      <c r="F78" s="9" t="s">
        <v>230</v>
      </c>
      <c r="G78" s="9">
        <v>16.600000000000001</v>
      </c>
      <c r="H78" s="9">
        <v>8</v>
      </c>
      <c r="I78" s="9">
        <v>6</v>
      </c>
      <c r="J78" s="9">
        <v>143</v>
      </c>
      <c r="K78" s="9">
        <v>140</v>
      </c>
      <c r="L78" s="9">
        <v>97.9</v>
      </c>
      <c r="M78" s="9">
        <v>9</v>
      </c>
      <c r="N78" s="9">
        <v>5</v>
      </c>
      <c r="O78" s="9">
        <v>65317</v>
      </c>
      <c r="P78" s="9">
        <v>7</v>
      </c>
      <c r="Q78" s="9">
        <v>72</v>
      </c>
      <c r="R78" s="9">
        <v>54</v>
      </c>
      <c r="S78" s="12" t="s">
        <v>37</v>
      </c>
      <c r="T78" s="9" t="s">
        <v>83</v>
      </c>
      <c r="U78" s="9">
        <v>48.2</v>
      </c>
      <c r="V78" s="9">
        <v>6.3</v>
      </c>
      <c r="W78" s="9">
        <v>3.5</v>
      </c>
      <c r="X78" s="9">
        <v>97.9</v>
      </c>
      <c r="Y78" s="9">
        <v>456.76</v>
      </c>
      <c r="Z78" s="9" t="b">
        <f>TRUE()</f>
        <v>1</v>
      </c>
    </row>
    <row r="79" spans="1:26" x14ac:dyDescent="0.3">
      <c r="A79" s="11" t="s">
        <v>231</v>
      </c>
      <c r="B79" s="11" t="s">
        <v>178</v>
      </c>
      <c r="C79" s="11" t="s">
        <v>28</v>
      </c>
      <c r="D79" s="11" t="s">
        <v>81</v>
      </c>
      <c r="E79" s="11" t="s">
        <v>232</v>
      </c>
      <c r="F79" s="11" t="s">
        <v>232</v>
      </c>
      <c r="G79" s="11">
        <v>4.4000000000000004</v>
      </c>
      <c r="H79" s="11">
        <v>4</v>
      </c>
      <c r="I79" s="11">
        <v>6</v>
      </c>
      <c r="J79" s="11">
        <v>51</v>
      </c>
      <c r="K79" s="11">
        <v>38</v>
      </c>
      <c r="L79" s="11">
        <v>74.5</v>
      </c>
      <c r="M79" s="11">
        <v>4</v>
      </c>
      <c r="N79" s="11">
        <v>4</v>
      </c>
      <c r="O79" s="11">
        <v>33577</v>
      </c>
      <c r="P79" s="11">
        <v>10</v>
      </c>
      <c r="Q79" s="11">
        <v>81</v>
      </c>
      <c r="R79" s="11">
        <v>51</v>
      </c>
      <c r="S79" s="14" t="s">
        <v>67</v>
      </c>
      <c r="T79" s="11" t="s">
        <v>44</v>
      </c>
      <c r="U79" s="11">
        <v>90.9</v>
      </c>
      <c r="V79" s="11">
        <v>7.8</v>
      </c>
      <c r="W79" s="11">
        <v>7.8</v>
      </c>
      <c r="X79" s="11">
        <v>74.5</v>
      </c>
      <c r="Y79" s="11">
        <v>658.37</v>
      </c>
      <c r="Z79" s="11" t="b">
        <f>TRUE()</f>
        <v>1</v>
      </c>
    </row>
    <row r="80" spans="1:26" x14ac:dyDescent="0.3">
      <c r="A80" s="9" t="s">
        <v>233</v>
      </c>
      <c r="B80" s="9" t="s">
        <v>46</v>
      </c>
      <c r="C80" s="9" t="s">
        <v>47</v>
      </c>
      <c r="D80" s="9" t="s">
        <v>102</v>
      </c>
      <c r="E80" s="9" t="s">
        <v>219</v>
      </c>
      <c r="F80" s="9" t="s">
        <v>219</v>
      </c>
      <c r="G80" s="9">
        <v>11.7</v>
      </c>
      <c r="H80" s="9">
        <v>7</v>
      </c>
      <c r="I80" s="9">
        <v>2</v>
      </c>
      <c r="J80" s="9">
        <v>182</v>
      </c>
      <c r="K80" s="9">
        <v>167</v>
      </c>
      <c r="L80" s="9">
        <v>91.8</v>
      </c>
      <c r="M80" s="9">
        <v>22</v>
      </c>
      <c r="N80" s="9">
        <v>9</v>
      </c>
      <c r="O80" s="9">
        <v>53693</v>
      </c>
      <c r="P80" s="9">
        <v>1</v>
      </c>
      <c r="Q80" s="9">
        <v>74</v>
      </c>
      <c r="R80" s="9">
        <v>47</v>
      </c>
      <c r="S80" s="13" t="s">
        <v>54</v>
      </c>
      <c r="T80" s="9" t="s">
        <v>49</v>
      </c>
      <c r="U80" s="9">
        <v>59.8</v>
      </c>
      <c r="V80" s="9">
        <v>12.1</v>
      </c>
      <c r="W80" s="9">
        <v>4.9000000000000004</v>
      </c>
      <c r="X80" s="9">
        <v>91.8</v>
      </c>
      <c r="Y80" s="9">
        <v>295.02</v>
      </c>
      <c r="Z80" s="9" t="b">
        <f>TRUE()</f>
        <v>1</v>
      </c>
    </row>
    <row r="81" spans="1:26" x14ac:dyDescent="0.3">
      <c r="A81" s="11" t="s">
        <v>234</v>
      </c>
      <c r="B81" s="11" t="s">
        <v>178</v>
      </c>
      <c r="C81" s="11" t="s">
        <v>28</v>
      </c>
      <c r="D81" s="11" t="s">
        <v>52</v>
      </c>
      <c r="E81" s="11" t="s">
        <v>235</v>
      </c>
      <c r="F81" s="11" t="s">
        <v>235</v>
      </c>
      <c r="G81" s="11">
        <v>10.8</v>
      </c>
      <c r="H81" s="11">
        <v>12</v>
      </c>
      <c r="I81" s="11">
        <v>7</v>
      </c>
      <c r="J81" s="11">
        <v>136</v>
      </c>
      <c r="K81" s="11">
        <v>97</v>
      </c>
      <c r="L81" s="11">
        <v>71.3</v>
      </c>
      <c r="M81" s="11">
        <v>17</v>
      </c>
      <c r="N81" s="11">
        <v>13</v>
      </c>
      <c r="O81" s="11">
        <v>49051</v>
      </c>
      <c r="P81" s="11">
        <v>2</v>
      </c>
      <c r="Q81" s="11">
        <v>83</v>
      </c>
      <c r="R81" s="11">
        <v>86</v>
      </c>
      <c r="S81" s="10" t="s">
        <v>31</v>
      </c>
      <c r="T81" s="11" t="s">
        <v>44</v>
      </c>
      <c r="U81" s="11">
        <v>100</v>
      </c>
      <c r="V81" s="11">
        <v>12.5</v>
      </c>
      <c r="W81" s="11">
        <v>9.6</v>
      </c>
      <c r="X81" s="11">
        <v>71.3</v>
      </c>
      <c r="Y81" s="11">
        <v>360.67</v>
      </c>
      <c r="Z81" s="11" t="b">
        <f>FALSE()</f>
        <v>0</v>
      </c>
    </row>
    <row r="82" spans="1:26" x14ac:dyDescent="0.3">
      <c r="A82" s="9" t="s">
        <v>236</v>
      </c>
      <c r="B82" s="9" t="s">
        <v>40</v>
      </c>
      <c r="C82" s="9" t="s">
        <v>41</v>
      </c>
      <c r="D82" s="9" t="s">
        <v>81</v>
      </c>
      <c r="E82" s="9" t="s">
        <v>237</v>
      </c>
      <c r="F82" s="9" t="s">
        <v>237</v>
      </c>
      <c r="G82" s="9">
        <v>18.8</v>
      </c>
      <c r="H82" s="9">
        <v>15</v>
      </c>
      <c r="I82" s="9">
        <v>7</v>
      </c>
      <c r="J82" s="9">
        <v>133</v>
      </c>
      <c r="K82" s="9">
        <v>99</v>
      </c>
      <c r="L82" s="9">
        <v>74.400000000000006</v>
      </c>
      <c r="M82" s="9">
        <v>7</v>
      </c>
      <c r="N82" s="9">
        <v>5</v>
      </c>
      <c r="O82" s="9">
        <v>12452</v>
      </c>
      <c r="P82" s="9">
        <v>10</v>
      </c>
      <c r="Q82" s="9">
        <v>81</v>
      </c>
      <c r="R82" s="9">
        <v>79</v>
      </c>
      <c r="S82" s="13" t="s">
        <v>54</v>
      </c>
      <c r="T82" s="9" t="s">
        <v>74</v>
      </c>
      <c r="U82" s="9">
        <v>79.8</v>
      </c>
      <c r="V82" s="9">
        <v>5.3</v>
      </c>
      <c r="W82" s="9">
        <v>3.8</v>
      </c>
      <c r="X82" s="9">
        <v>74.400000000000006</v>
      </c>
      <c r="Y82" s="9">
        <v>93.62</v>
      </c>
      <c r="Z82" s="9" t="b">
        <f>TRUE()</f>
        <v>1</v>
      </c>
    </row>
    <row r="83" spans="1:26" x14ac:dyDescent="0.3">
      <c r="A83" s="11" t="s">
        <v>238</v>
      </c>
      <c r="B83" s="11" t="s">
        <v>40</v>
      </c>
      <c r="C83" s="11" t="s">
        <v>41</v>
      </c>
      <c r="D83" s="11" t="s">
        <v>52</v>
      </c>
      <c r="E83" s="11" t="s">
        <v>239</v>
      </c>
      <c r="F83" s="11" t="s">
        <v>239</v>
      </c>
      <c r="G83" s="11">
        <v>10.6</v>
      </c>
      <c r="H83" s="11">
        <v>5</v>
      </c>
      <c r="I83" s="11">
        <v>4</v>
      </c>
      <c r="J83" s="11">
        <v>136</v>
      </c>
      <c r="K83" s="11">
        <v>80</v>
      </c>
      <c r="L83" s="11">
        <v>58.8</v>
      </c>
      <c r="M83" s="11">
        <v>6</v>
      </c>
      <c r="N83" s="11">
        <v>5</v>
      </c>
      <c r="O83" s="11">
        <v>52962</v>
      </c>
      <c r="P83" s="11">
        <v>0</v>
      </c>
      <c r="Q83" s="11">
        <v>71</v>
      </c>
      <c r="R83" s="11">
        <v>95</v>
      </c>
      <c r="S83" s="10" t="s">
        <v>31</v>
      </c>
      <c r="T83" s="11" t="s">
        <v>38</v>
      </c>
      <c r="U83" s="11">
        <v>47.2</v>
      </c>
      <c r="V83" s="11">
        <v>4.4000000000000004</v>
      </c>
      <c r="W83" s="11">
        <v>3.7</v>
      </c>
      <c r="X83" s="11">
        <v>58.8</v>
      </c>
      <c r="Y83" s="11">
        <v>389.43</v>
      </c>
      <c r="Z83" s="11" t="b">
        <f>FALSE()</f>
        <v>0</v>
      </c>
    </row>
    <row r="84" spans="1:26" x14ac:dyDescent="0.3">
      <c r="A84" s="9" t="s">
        <v>240</v>
      </c>
      <c r="B84" s="9" t="s">
        <v>178</v>
      </c>
      <c r="C84" s="9" t="s">
        <v>28</v>
      </c>
      <c r="D84" s="9" t="s">
        <v>29</v>
      </c>
      <c r="E84" s="9" t="s">
        <v>241</v>
      </c>
      <c r="F84" s="9" t="s">
        <v>241</v>
      </c>
      <c r="G84" s="9">
        <v>11.1</v>
      </c>
      <c r="H84" s="9">
        <v>7</v>
      </c>
      <c r="I84" s="9">
        <v>1</v>
      </c>
      <c r="J84" s="9">
        <v>79</v>
      </c>
      <c r="K84" s="9">
        <v>55</v>
      </c>
      <c r="L84" s="9">
        <v>69.599999999999994</v>
      </c>
      <c r="M84" s="9">
        <v>2</v>
      </c>
      <c r="N84" s="9">
        <v>2</v>
      </c>
      <c r="O84" s="9">
        <v>5213</v>
      </c>
      <c r="P84" s="9">
        <v>2</v>
      </c>
      <c r="Q84" s="9">
        <v>74</v>
      </c>
      <c r="R84" s="9">
        <v>79</v>
      </c>
      <c r="S84" s="10" t="s">
        <v>31</v>
      </c>
      <c r="T84" s="9" t="s">
        <v>38</v>
      </c>
      <c r="U84" s="9">
        <v>63.1</v>
      </c>
      <c r="V84" s="9">
        <v>2.5</v>
      </c>
      <c r="W84" s="9">
        <v>2.5</v>
      </c>
      <c r="X84" s="9">
        <v>69.599999999999994</v>
      </c>
      <c r="Y84" s="9">
        <v>65.989999999999995</v>
      </c>
      <c r="Z84" s="9" t="b">
        <f>FALSE()</f>
        <v>0</v>
      </c>
    </row>
    <row r="85" spans="1:26" x14ac:dyDescent="0.3">
      <c r="A85" s="11" t="s">
        <v>242</v>
      </c>
      <c r="B85" s="11" t="s">
        <v>79</v>
      </c>
      <c r="C85" s="11" t="s">
        <v>80</v>
      </c>
      <c r="D85" s="11" t="s">
        <v>102</v>
      </c>
      <c r="E85" s="11" t="s">
        <v>243</v>
      </c>
      <c r="F85" s="11" t="s">
        <v>243</v>
      </c>
      <c r="G85" s="11">
        <v>17</v>
      </c>
      <c r="H85" s="11">
        <v>9</v>
      </c>
      <c r="I85" s="11">
        <v>8</v>
      </c>
      <c r="J85" s="11">
        <v>80</v>
      </c>
      <c r="K85" s="11">
        <v>65</v>
      </c>
      <c r="L85" s="11">
        <v>81.2</v>
      </c>
      <c r="M85" s="11">
        <v>0</v>
      </c>
      <c r="N85" s="11">
        <v>0</v>
      </c>
      <c r="O85" s="11">
        <v>24903</v>
      </c>
      <c r="P85" s="11">
        <v>2</v>
      </c>
      <c r="Q85" s="11">
        <v>93</v>
      </c>
      <c r="R85" s="11">
        <v>71</v>
      </c>
      <c r="S85" s="14" t="s">
        <v>67</v>
      </c>
      <c r="T85" s="11" t="s">
        <v>55</v>
      </c>
      <c r="U85" s="11">
        <v>52.9</v>
      </c>
      <c r="V85" s="11">
        <v>0</v>
      </c>
      <c r="W85" s="11">
        <v>0</v>
      </c>
      <c r="X85" s="11">
        <v>81.2</v>
      </c>
      <c r="Y85" s="11">
        <v>311.29000000000002</v>
      </c>
      <c r="Z85" s="11" t="b">
        <f>TRUE()</f>
        <v>1</v>
      </c>
    </row>
    <row r="86" spans="1:26" x14ac:dyDescent="0.3">
      <c r="A86" s="9" t="s">
        <v>244</v>
      </c>
      <c r="B86" s="9" t="s">
        <v>129</v>
      </c>
      <c r="C86" s="9" t="s">
        <v>71</v>
      </c>
      <c r="D86" s="9" t="s">
        <v>81</v>
      </c>
      <c r="E86" s="9" t="s">
        <v>245</v>
      </c>
      <c r="F86" s="9" t="s">
        <v>245</v>
      </c>
      <c r="G86" s="9">
        <v>19.100000000000001</v>
      </c>
      <c r="H86" s="9">
        <v>12</v>
      </c>
      <c r="I86" s="9">
        <v>8</v>
      </c>
      <c r="J86" s="9">
        <v>135</v>
      </c>
      <c r="K86" s="9">
        <v>104</v>
      </c>
      <c r="L86" s="9">
        <v>77</v>
      </c>
      <c r="M86" s="9">
        <v>19</v>
      </c>
      <c r="N86" s="9">
        <v>1</v>
      </c>
      <c r="O86" s="9">
        <v>59543</v>
      </c>
      <c r="P86" s="9">
        <v>10</v>
      </c>
      <c r="Q86" s="9">
        <v>86</v>
      </c>
      <c r="R86" s="9">
        <v>64</v>
      </c>
      <c r="S86" s="10" t="s">
        <v>31</v>
      </c>
      <c r="T86" s="9" t="s">
        <v>32</v>
      </c>
      <c r="U86" s="9">
        <v>62.8</v>
      </c>
      <c r="V86" s="9">
        <v>14.1</v>
      </c>
      <c r="W86" s="9">
        <v>0.7</v>
      </c>
      <c r="X86" s="9">
        <v>77</v>
      </c>
      <c r="Y86" s="9">
        <v>441.06</v>
      </c>
      <c r="Z86" s="9" t="b">
        <f>TRUE()</f>
        <v>1</v>
      </c>
    </row>
    <row r="87" spans="1:26" x14ac:dyDescent="0.3">
      <c r="A87" s="11" t="s">
        <v>246</v>
      </c>
      <c r="B87" s="11" t="s">
        <v>51</v>
      </c>
      <c r="C87" s="11" t="s">
        <v>28</v>
      </c>
      <c r="D87" s="11" t="s">
        <v>52</v>
      </c>
      <c r="E87" s="11" t="s">
        <v>247</v>
      </c>
      <c r="F87" s="11" t="s">
        <v>247</v>
      </c>
      <c r="G87" s="11">
        <v>17.3</v>
      </c>
      <c r="H87" s="11">
        <v>10</v>
      </c>
      <c r="I87" s="11">
        <v>6</v>
      </c>
      <c r="J87" s="11">
        <v>145</v>
      </c>
      <c r="K87" s="11">
        <v>126</v>
      </c>
      <c r="L87" s="11">
        <v>86.9</v>
      </c>
      <c r="M87" s="11">
        <v>14</v>
      </c>
      <c r="N87" s="11">
        <v>1</v>
      </c>
      <c r="O87" s="11">
        <v>72445</v>
      </c>
      <c r="P87" s="11">
        <v>5</v>
      </c>
      <c r="Q87" s="11">
        <v>89</v>
      </c>
      <c r="R87" s="11">
        <v>54</v>
      </c>
      <c r="S87" s="10" t="s">
        <v>31</v>
      </c>
      <c r="T87" s="11" t="s">
        <v>49</v>
      </c>
      <c r="U87" s="11">
        <v>57.8</v>
      </c>
      <c r="V87" s="11">
        <v>9.6999999999999993</v>
      </c>
      <c r="W87" s="11">
        <v>0.7</v>
      </c>
      <c r="X87" s="11">
        <v>86.9</v>
      </c>
      <c r="Y87" s="11">
        <v>499.62</v>
      </c>
      <c r="Z87" s="11" t="b">
        <f>TRUE()</f>
        <v>1</v>
      </c>
    </row>
    <row r="88" spans="1:26" x14ac:dyDescent="0.3">
      <c r="A88" s="9" t="s">
        <v>248</v>
      </c>
      <c r="B88" s="9" t="s">
        <v>70</v>
      </c>
      <c r="C88" s="9" t="s">
        <v>71</v>
      </c>
      <c r="D88" s="9" t="s">
        <v>35</v>
      </c>
      <c r="E88" s="9" t="s">
        <v>187</v>
      </c>
      <c r="F88" s="9" t="s">
        <v>187</v>
      </c>
      <c r="G88" s="9">
        <v>13.7</v>
      </c>
      <c r="H88" s="9">
        <v>12</v>
      </c>
      <c r="I88" s="9">
        <v>8</v>
      </c>
      <c r="J88" s="9">
        <v>149</v>
      </c>
      <c r="K88" s="9">
        <v>122</v>
      </c>
      <c r="L88" s="9">
        <v>81.900000000000006</v>
      </c>
      <c r="M88" s="9">
        <v>3</v>
      </c>
      <c r="N88" s="9">
        <v>0</v>
      </c>
      <c r="O88" s="9">
        <v>68959</v>
      </c>
      <c r="P88" s="9">
        <v>10</v>
      </c>
      <c r="Q88" s="9">
        <v>94</v>
      </c>
      <c r="R88" s="9">
        <v>80</v>
      </c>
      <c r="S88" s="14" t="s">
        <v>67</v>
      </c>
      <c r="T88" s="9" t="s">
        <v>83</v>
      </c>
      <c r="U88" s="9">
        <v>87.6</v>
      </c>
      <c r="V88" s="9">
        <v>2</v>
      </c>
      <c r="W88" s="9">
        <v>0</v>
      </c>
      <c r="X88" s="9">
        <v>81.900000000000006</v>
      </c>
      <c r="Y88" s="9">
        <v>462.81</v>
      </c>
      <c r="Z88" s="9" t="b">
        <f>TRUE()</f>
        <v>1</v>
      </c>
    </row>
    <row r="89" spans="1:26" x14ac:dyDescent="0.3">
      <c r="A89" s="11" t="s">
        <v>249</v>
      </c>
      <c r="B89" s="11" t="s">
        <v>46</v>
      </c>
      <c r="C89" s="11" t="s">
        <v>47</v>
      </c>
      <c r="D89" s="11" t="s">
        <v>29</v>
      </c>
      <c r="E89" s="11" t="s">
        <v>250</v>
      </c>
      <c r="F89" s="11" t="s">
        <v>250</v>
      </c>
      <c r="G89" s="11">
        <v>12.1</v>
      </c>
      <c r="H89" s="11">
        <v>10</v>
      </c>
      <c r="I89" s="11">
        <v>2</v>
      </c>
      <c r="J89" s="11">
        <v>136</v>
      </c>
      <c r="K89" s="11">
        <v>99</v>
      </c>
      <c r="L89" s="11">
        <v>72.8</v>
      </c>
      <c r="M89" s="11">
        <v>3</v>
      </c>
      <c r="N89" s="11">
        <v>2</v>
      </c>
      <c r="O89" s="11">
        <v>37007</v>
      </c>
      <c r="P89" s="11">
        <v>10</v>
      </c>
      <c r="Q89" s="11">
        <v>78</v>
      </c>
      <c r="R89" s="11">
        <v>68</v>
      </c>
      <c r="S89" s="13" t="s">
        <v>54</v>
      </c>
      <c r="T89" s="11" t="s">
        <v>44</v>
      </c>
      <c r="U89" s="11">
        <v>82.6</v>
      </c>
      <c r="V89" s="11">
        <v>2.2000000000000002</v>
      </c>
      <c r="W89" s="11">
        <v>1.5</v>
      </c>
      <c r="X89" s="11">
        <v>72.8</v>
      </c>
      <c r="Y89" s="11">
        <v>272.11</v>
      </c>
      <c r="Z89" s="11" t="b">
        <f>TRUE()</f>
        <v>1</v>
      </c>
    </row>
    <row r="90" spans="1:26" x14ac:dyDescent="0.3">
      <c r="A90" s="9" t="s">
        <v>251</v>
      </c>
      <c r="B90" s="9" t="s">
        <v>51</v>
      </c>
      <c r="C90" s="9" t="s">
        <v>28</v>
      </c>
      <c r="D90" s="9" t="s">
        <v>58</v>
      </c>
      <c r="E90" s="9" t="s">
        <v>143</v>
      </c>
      <c r="F90" s="9" t="s">
        <v>143</v>
      </c>
      <c r="G90" s="9">
        <v>6.7</v>
      </c>
      <c r="H90" s="9">
        <v>5</v>
      </c>
      <c r="I90" s="9">
        <v>7</v>
      </c>
      <c r="J90" s="9">
        <v>115</v>
      </c>
      <c r="K90" s="9">
        <v>105</v>
      </c>
      <c r="L90" s="9">
        <v>91.3</v>
      </c>
      <c r="M90" s="9">
        <v>17</v>
      </c>
      <c r="N90" s="9">
        <v>1</v>
      </c>
      <c r="O90" s="9">
        <v>48985</v>
      </c>
      <c r="P90" s="9">
        <v>8</v>
      </c>
      <c r="Q90" s="9">
        <v>87</v>
      </c>
      <c r="R90" s="9">
        <v>66</v>
      </c>
      <c r="S90" s="14" t="s">
        <v>67</v>
      </c>
      <c r="T90" s="9" t="s">
        <v>68</v>
      </c>
      <c r="U90" s="9">
        <v>74.599999999999994</v>
      </c>
      <c r="V90" s="9">
        <v>14.8</v>
      </c>
      <c r="W90" s="9">
        <v>0.9</v>
      </c>
      <c r="X90" s="9">
        <v>91.3</v>
      </c>
      <c r="Y90" s="9">
        <v>425.96</v>
      </c>
      <c r="Z90" s="9" t="b">
        <f>TRUE()</f>
        <v>1</v>
      </c>
    </row>
    <row r="91" spans="1:26" x14ac:dyDescent="0.3">
      <c r="A91" s="11" t="s">
        <v>252</v>
      </c>
      <c r="B91" s="11" t="s">
        <v>51</v>
      </c>
      <c r="C91" s="11" t="s">
        <v>28</v>
      </c>
      <c r="D91" s="11" t="s">
        <v>58</v>
      </c>
      <c r="E91" s="11" t="s">
        <v>253</v>
      </c>
      <c r="F91" s="11" t="s">
        <v>253</v>
      </c>
      <c r="G91" s="11">
        <v>12.8</v>
      </c>
      <c r="H91" s="11">
        <v>8</v>
      </c>
      <c r="I91" s="11">
        <v>2</v>
      </c>
      <c r="J91" s="11">
        <v>110</v>
      </c>
      <c r="K91" s="11">
        <v>65</v>
      </c>
      <c r="L91" s="11">
        <v>59.1</v>
      </c>
      <c r="M91" s="11">
        <v>16</v>
      </c>
      <c r="N91" s="11">
        <v>6</v>
      </c>
      <c r="O91" s="11">
        <v>16605</v>
      </c>
      <c r="P91" s="11">
        <v>7</v>
      </c>
      <c r="Q91" s="11">
        <v>77</v>
      </c>
      <c r="R91" s="11">
        <v>99</v>
      </c>
      <c r="S91" s="10" t="s">
        <v>31</v>
      </c>
      <c r="T91" s="11" t="s">
        <v>77</v>
      </c>
      <c r="U91" s="11">
        <v>62.5</v>
      </c>
      <c r="V91" s="11">
        <v>14.5</v>
      </c>
      <c r="W91" s="11">
        <v>5.5</v>
      </c>
      <c r="X91" s="11">
        <v>59.1</v>
      </c>
      <c r="Y91" s="11">
        <v>150.94999999999999</v>
      </c>
      <c r="Z91" s="11" t="b">
        <f>FALSE()</f>
        <v>0</v>
      </c>
    </row>
    <row r="92" spans="1:26" x14ac:dyDescent="0.3">
      <c r="A92" s="9" t="s">
        <v>254</v>
      </c>
      <c r="B92" s="9" t="s">
        <v>129</v>
      </c>
      <c r="C92" s="9" t="s">
        <v>71</v>
      </c>
      <c r="D92" s="9" t="s">
        <v>81</v>
      </c>
      <c r="E92" s="9" t="s">
        <v>100</v>
      </c>
      <c r="F92" s="9" t="s">
        <v>100</v>
      </c>
      <c r="G92" s="9">
        <v>13.5</v>
      </c>
      <c r="H92" s="9">
        <v>13</v>
      </c>
      <c r="I92" s="9">
        <v>3</v>
      </c>
      <c r="J92" s="9">
        <v>129</v>
      </c>
      <c r="K92" s="9">
        <v>120</v>
      </c>
      <c r="L92" s="9">
        <v>93</v>
      </c>
      <c r="M92" s="9">
        <v>19</v>
      </c>
      <c r="N92" s="9">
        <v>19</v>
      </c>
      <c r="O92" s="9">
        <v>55623</v>
      </c>
      <c r="P92" s="9">
        <v>8</v>
      </c>
      <c r="Q92" s="9">
        <v>70</v>
      </c>
      <c r="R92" s="9">
        <v>83</v>
      </c>
      <c r="S92" s="13" t="s">
        <v>54</v>
      </c>
      <c r="T92" s="9" t="s">
        <v>49</v>
      </c>
      <c r="U92" s="9">
        <v>96.3</v>
      </c>
      <c r="V92" s="9">
        <v>14.7</v>
      </c>
      <c r="W92" s="9">
        <v>14.7</v>
      </c>
      <c r="X92" s="9">
        <v>93</v>
      </c>
      <c r="Y92" s="9">
        <v>431.19</v>
      </c>
      <c r="Z92" s="9" t="b">
        <f>FALSE()</f>
        <v>0</v>
      </c>
    </row>
    <row r="93" spans="1:26" x14ac:dyDescent="0.3">
      <c r="A93" s="11" t="s">
        <v>255</v>
      </c>
      <c r="B93" s="11" t="s">
        <v>40</v>
      </c>
      <c r="C93" s="11" t="s">
        <v>41</v>
      </c>
      <c r="D93" s="11" t="s">
        <v>29</v>
      </c>
      <c r="E93" s="11" t="s">
        <v>130</v>
      </c>
      <c r="F93" s="11" t="s">
        <v>130</v>
      </c>
      <c r="G93" s="11">
        <v>18.600000000000001</v>
      </c>
      <c r="H93" s="11">
        <v>16</v>
      </c>
      <c r="I93" s="11">
        <v>4</v>
      </c>
      <c r="J93" s="11">
        <v>106</v>
      </c>
      <c r="K93" s="11">
        <v>75</v>
      </c>
      <c r="L93" s="11">
        <v>70.8</v>
      </c>
      <c r="M93" s="11">
        <v>5</v>
      </c>
      <c r="N93" s="11">
        <v>1</v>
      </c>
      <c r="O93" s="11">
        <v>47474</v>
      </c>
      <c r="P93" s="11">
        <v>6</v>
      </c>
      <c r="Q93" s="11">
        <v>72</v>
      </c>
      <c r="R93" s="11">
        <v>54</v>
      </c>
      <c r="S93" s="14" t="s">
        <v>67</v>
      </c>
      <c r="T93" s="11" t="s">
        <v>32</v>
      </c>
      <c r="U93" s="11">
        <v>86</v>
      </c>
      <c r="V93" s="11">
        <v>4.7</v>
      </c>
      <c r="W93" s="11">
        <v>0.9</v>
      </c>
      <c r="X93" s="11">
        <v>70.8</v>
      </c>
      <c r="Y93" s="11">
        <v>447.87</v>
      </c>
      <c r="Z93" s="11" t="b">
        <f>TRUE()</f>
        <v>1</v>
      </c>
    </row>
    <row r="94" spans="1:26" x14ac:dyDescent="0.3">
      <c r="A94" s="9" t="s">
        <v>256</v>
      </c>
      <c r="B94" s="9" t="s">
        <v>70</v>
      </c>
      <c r="C94" s="9" t="s">
        <v>71</v>
      </c>
      <c r="D94" s="9" t="s">
        <v>29</v>
      </c>
      <c r="E94" s="9" t="s">
        <v>257</v>
      </c>
      <c r="F94" s="9" t="s">
        <v>257</v>
      </c>
      <c r="G94" s="9">
        <v>13.3</v>
      </c>
      <c r="H94" s="9">
        <v>11</v>
      </c>
      <c r="I94" s="9">
        <v>5</v>
      </c>
      <c r="J94" s="9">
        <v>114</v>
      </c>
      <c r="K94" s="9">
        <v>78</v>
      </c>
      <c r="L94" s="9">
        <v>68.400000000000006</v>
      </c>
      <c r="M94" s="9">
        <v>10</v>
      </c>
      <c r="N94" s="9">
        <v>9</v>
      </c>
      <c r="O94" s="9">
        <v>49717</v>
      </c>
      <c r="P94" s="9">
        <v>0</v>
      </c>
      <c r="Q94" s="9">
        <v>74</v>
      </c>
      <c r="R94" s="9">
        <v>55</v>
      </c>
      <c r="S94" s="12" t="s">
        <v>37</v>
      </c>
      <c r="T94" s="9" t="s">
        <v>32</v>
      </c>
      <c r="U94" s="9">
        <v>82.7</v>
      </c>
      <c r="V94" s="9">
        <v>8.8000000000000007</v>
      </c>
      <c r="W94" s="9">
        <v>7.9</v>
      </c>
      <c r="X94" s="9">
        <v>68.400000000000006</v>
      </c>
      <c r="Y94" s="9">
        <v>436.11</v>
      </c>
      <c r="Z94" s="9" t="b">
        <f>TRUE()</f>
        <v>1</v>
      </c>
    </row>
    <row r="95" spans="1:26" x14ac:dyDescent="0.3">
      <c r="A95" s="11" t="s">
        <v>258</v>
      </c>
      <c r="B95" s="11" t="s">
        <v>96</v>
      </c>
      <c r="C95" s="11" t="s">
        <v>71</v>
      </c>
      <c r="D95" s="11" t="s">
        <v>102</v>
      </c>
      <c r="E95" s="11" t="s">
        <v>259</v>
      </c>
      <c r="F95" s="11" t="s">
        <v>259</v>
      </c>
      <c r="G95" s="11">
        <v>14.3</v>
      </c>
      <c r="H95" s="11">
        <v>10</v>
      </c>
      <c r="I95" s="11">
        <v>5</v>
      </c>
      <c r="J95" s="11">
        <v>133</v>
      </c>
      <c r="K95" s="11">
        <v>97</v>
      </c>
      <c r="L95" s="11">
        <v>72.900000000000006</v>
      </c>
      <c r="M95" s="11">
        <v>6</v>
      </c>
      <c r="N95" s="11">
        <v>6</v>
      </c>
      <c r="O95" s="11">
        <v>43426</v>
      </c>
      <c r="P95" s="11">
        <v>5</v>
      </c>
      <c r="Q95" s="11">
        <v>83</v>
      </c>
      <c r="R95" s="11">
        <v>52</v>
      </c>
      <c r="S95" s="10" t="s">
        <v>31</v>
      </c>
      <c r="T95" s="11" t="s">
        <v>86</v>
      </c>
      <c r="U95" s="11">
        <v>69.900000000000006</v>
      </c>
      <c r="V95" s="11">
        <v>4.5</v>
      </c>
      <c r="W95" s="11">
        <v>4.5</v>
      </c>
      <c r="X95" s="11">
        <v>72.900000000000006</v>
      </c>
      <c r="Y95" s="11">
        <v>326.51</v>
      </c>
      <c r="Z95" s="11" t="b">
        <f>TRUE()</f>
        <v>1</v>
      </c>
    </row>
    <row r="96" spans="1:26" x14ac:dyDescent="0.3">
      <c r="A96" s="9" t="s">
        <v>260</v>
      </c>
      <c r="B96" s="9" t="s">
        <v>91</v>
      </c>
      <c r="C96" s="9" t="s">
        <v>71</v>
      </c>
      <c r="D96" s="9" t="s">
        <v>35</v>
      </c>
      <c r="E96" s="9" t="s">
        <v>261</v>
      </c>
      <c r="F96" s="9" t="s">
        <v>261</v>
      </c>
      <c r="G96" s="9">
        <v>21.8</v>
      </c>
      <c r="H96" s="9">
        <v>10</v>
      </c>
      <c r="I96" s="9">
        <v>3</v>
      </c>
      <c r="J96" s="9">
        <v>34</v>
      </c>
      <c r="K96" s="9">
        <v>18</v>
      </c>
      <c r="L96" s="9">
        <v>52.9</v>
      </c>
      <c r="M96" s="9">
        <v>2</v>
      </c>
      <c r="N96" s="9">
        <v>0</v>
      </c>
      <c r="O96" s="9">
        <v>62551</v>
      </c>
      <c r="P96" s="9">
        <v>4</v>
      </c>
      <c r="Q96" s="9">
        <v>79</v>
      </c>
      <c r="R96" s="9">
        <v>65</v>
      </c>
      <c r="S96" s="10" t="s">
        <v>31</v>
      </c>
      <c r="T96" s="9" t="s">
        <v>44</v>
      </c>
      <c r="U96" s="9">
        <v>45.9</v>
      </c>
      <c r="V96" s="9">
        <v>5.9</v>
      </c>
      <c r="W96" s="9">
        <v>0</v>
      </c>
      <c r="X96" s="9">
        <v>52.9</v>
      </c>
      <c r="Y96" s="9">
        <v>1839.74</v>
      </c>
      <c r="Z96" s="9" t="b">
        <f>TRUE()</f>
        <v>1</v>
      </c>
    </row>
    <row r="97" spans="1:26" x14ac:dyDescent="0.3">
      <c r="A97" s="11" t="s">
        <v>262</v>
      </c>
      <c r="B97" s="11" t="s">
        <v>79</v>
      </c>
      <c r="C97" s="11" t="s">
        <v>80</v>
      </c>
      <c r="D97" s="11" t="s">
        <v>58</v>
      </c>
      <c r="E97" s="11" t="s">
        <v>161</v>
      </c>
      <c r="F97" s="11" t="s">
        <v>161</v>
      </c>
      <c r="G97" s="11">
        <v>21.1</v>
      </c>
      <c r="H97" s="11">
        <v>12</v>
      </c>
      <c r="I97" s="11">
        <v>7</v>
      </c>
      <c r="J97" s="11">
        <v>148</v>
      </c>
      <c r="K97" s="11">
        <v>118</v>
      </c>
      <c r="L97" s="11">
        <v>79.7</v>
      </c>
      <c r="M97" s="11">
        <v>21</v>
      </c>
      <c r="N97" s="11">
        <v>11</v>
      </c>
      <c r="O97" s="11">
        <v>10406</v>
      </c>
      <c r="P97" s="11">
        <v>0</v>
      </c>
      <c r="Q97" s="11">
        <v>83</v>
      </c>
      <c r="R97" s="11">
        <v>46</v>
      </c>
      <c r="S97" s="10" t="s">
        <v>31</v>
      </c>
      <c r="T97" s="11" t="s">
        <v>55</v>
      </c>
      <c r="U97" s="11">
        <v>56.9</v>
      </c>
      <c r="V97" s="11">
        <v>14.2</v>
      </c>
      <c r="W97" s="11">
        <v>7.4</v>
      </c>
      <c r="X97" s="11">
        <v>79.7</v>
      </c>
      <c r="Y97" s="11">
        <v>70.31</v>
      </c>
      <c r="Z97" s="11" t="b">
        <f>TRUE()</f>
        <v>1</v>
      </c>
    </row>
    <row r="98" spans="1:26" x14ac:dyDescent="0.3">
      <c r="A98" s="9" t="s">
        <v>263</v>
      </c>
      <c r="B98" s="9" t="s">
        <v>114</v>
      </c>
      <c r="C98" s="9" t="s">
        <v>115</v>
      </c>
      <c r="D98" s="9" t="s">
        <v>29</v>
      </c>
      <c r="E98" s="9" t="s">
        <v>264</v>
      </c>
      <c r="F98" s="9" t="s">
        <v>155</v>
      </c>
      <c r="G98" s="9">
        <v>24.9</v>
      </c>
      <c r="H98" s="9">
        <v>15</v>
      </c>
      <c r="I98" s="9">
        <v>7</v>
      </c>
      <c r="J98" s="9">
        <v>94</v>
      </c>
      <c r="K98" s="9">
        <v>56</v>
      </c>
      <c r="L98" s="9">
        <v>59.6</v>
      </c>
      <c r="M98" s="9">
        <v>0</v>
      </c>
      <c r="N98" s="9">
        <v>0</v>
      </c>
      <c r="O98" s="9">
        <v>17890</v>
      </c>
      <c r="P98" s="9">
        <v>9</v>
      </c>
      <c r="Q98" s="9">
        <v>84</v>
      </c>
      <c r="R98" s="9">
        <v>98</v>
      </c>
      <c r="S98" s="14" t="s">
        <v>67</v>
      </c>
      <c r="T98" s="9" t="s">
        <v>74</v>
      </c>
      <c r="U98" s="9">
        <v>60.2</v>
      </c>
      <c r="V98" s="9">
        <v>0</v>
      </c>
      <c r="W98" s="9">
        <v>0</v>
      </c>
      <c r="X98" s="9">
        <v>59.6</v>
      </c>
      <c r="Y98" s="9">
        <v>190.32</v>
      </c>
      <c r="Z98" s="9" t="b">
        <f>FALSE()</f>
        <v>0</v>
      </c>
    </row>
    <row r="99" spans="1:26" x14ac:dyDescent="0.3">
      <c r="A99" s="11" t="s">
        <v>265</v>
      </c>
      <c r="B99" s="11" t="s">
        <v>51</v>
      </c>
      <c r="C99" s="11" t="s">
        <v>28</v>
      </c>
      <c r="D99" s="11" t="s">
        <v>29</v>
      </c>
      <c r="E99" s="11" t="s">
        <v>266</v>
      </c>
      <c r="F99" s="11" t="s">
        <v>266</v>
      </c>
      <c r="G99" s="11">
        <v>9.5</v>
      </c>
      <c r="H99" s="11">
        <v>7</v>
      </c>
      <c r="I99" s="11">
        <v>4</v>
      </c>
      <c r="J99" s="11">
        <v>122</v>
      </c>
      <c r="K99" s="11">
        <v>95</v>
      </c>
      <c r="L99" s="11">
        <v>77.900000000000006</v>
      </c>
      <c r="M99" s="11">
        <v>12</v>
      </c>
      <c r="N99" s="11">
        <v>4</v>
      </c>
      <c r="O99" s="11">
        <v>60935</v>
      </c>
      <c r="P99" s="11">
        <v>3</v>
      </c>
      <c r="Q99" s="11">
        <v>80</v>
      </c>
      <c r="R99" s="11">
        <v>94</v>
      </c>
      <c r="S99" s="10" t="s">
        <v>31</v>
      </c>
      <c r="T99" s="11" t="s">
        <v>77</v>
      </c>
      <c r="U99" s="11">
        <v>73.7</v>
      </c>
      <c r="V99" s="11">
        <v>9.8000000000000007</v>
      </c>
      <c r="W99" s="11">
        <v>3.3</v>
      </c>
      <c r="X99" s="11">
        <v>77.900000000000006</v>
      </c>
      <c r="Y99" s="11">
        <v>499.47</v>
      </c>
      <c r="Z99" s="11" t="b">
        <f>FALSE()</f>
        <v>0</v>
      </c>
    </row>
    <row r="100" spans="1:26" x14ac:dyDescent="0.3">
      <c r="A100" s="9" t="s">
        <v>267</v>
      </c>
      <c r="B100" s="9" t="s">
        <v>46</v>
      </c>
      <c r="C100" s="9" t="s">
        <v>47</v>
      </c>
      <c r="D100" s="9" t="s">
        <v>97</v>
      </c>
      <c r="E100" s="9" t="s">
        <v>268</v>
      </c>
      <c r="F100" s="9" t="s">
        <v>268</v>
      </c>
      <c r="G100" s="9">
        <v>16.100000000000001</v>
      </c>
      <c r="H100" s="9">
        <v>9</v>
      </c>
      <c r="I100" s="9">
        <v>8</v>
      </c>
      <c r="J100" s="9">
        <v>185</v>
      </c>
      <c r="K100" s="9">
        <v>169</v>
      </c>
      <c r="L100" s="9">
        <v>91.4</v>
      </c>
      <c r="M100" s="9">
        <v>7</v>
      </c>
      <c r="N100" s="9">
        <v>1</v>
      </c>
      <c r="O100" s="9">
        <v>15983</v>
      </c>
      <c r="P100" s="9">
        <v>3</v>
      </c>
      <c r="Q100" s="9">
        <v>75</v>
      </c>
      <c r="R100" s="9">
        <v>83</v>
      </c>
      <c r="S100" s="10" t="s">
        <v>31</v>
      </c>
      <c r="T100" s="9" t="s">
        <v>55</v>
      </c>
      <c r="U100" s="9">
        <v>55.9</v>
      </c>
      <c r="V100" s="9">
        <v>3.8</v>
      </c>
      <c r="W100" s="9">
        <v>0.5</v>
      </c>
      <c r="X100" s="9">
        <v>91.4</v>
      </c>
      <c r="Y100" s="9">
        <v>86.39</v>
      </c>
      <c r="Z100" s="9" t="b">
        <f>FALSE()</f>
        <v>0</v>
      </c>
    </row>
    <row r="101" spans="1:26" x14ac:dyDescent="0.3">
      <c r="A101" s="11" t="s">
        <v>269</v>
      </c>
      <c r="B101" s="11" t="s">
        <v>96</v>
      </c>
      <c r="C101" s="11" t="s">
        <v>71</v>
      </c>
      <c r="D101" s="11" t="s">
        <v>102</v>
      </c>
      <c r="E101" s="11" t="s">
        <v>270</v>
      </c>
      <c r="F101" s="11" t="s">
        <v>271</v>
      </c>
      <c r="G101" s="11">
        <v>25.1</v>
      </c>
      <c r="H101" s="11">
        <v>16</v>
      </c>
      <c r="I101" s="11">
        <v>5</v>
      </c>
      <c r="J101" s="11">
        <v>194</v>
      </c>
      <c r="K101" s="11">
        <v>187</v>
      </c>
      <c r="L101" s="11">
        <v>96.4</v>
      </c>
      <c r="M101" s="11">
        <v>18</v>
      </c>
      <c r="N101" s="11">
        <v>10</v>
      </c>
      <c r="O101" s="11">
        <v>69819</v>
      </c>
      <c r="P101" s="11">
        <v>10</v>
      </c>
      <c r="Q101" s="11">
        <v>80</v>
      </c>
      <c r="R101" s="11">
        <v>54</v>
      </c>
      <c r="S101" s="10" t="s">
        <v>31</v>
      </c>
      <c r="T101" s="11" t="s">
        <v>44</v>
      </c>
      <c r="U101" s="11">
        <v>63.7</v>
      </c>
      <c r="V101" s="11">
        <v>9.3000000000000007</v>
      </c>
      <c r="W101" s="11">
        <v>5.2</v>
      </c>
      <c r="X101" s="11">
        <v>96.4</v>
      </c>
      <c r="Y101" s="11">
        <v>359.89</v>
      </c>
      <c r="Z101" s="11" t="b">
        <f>TRUE()</f>
        <v>1</v>
      </c>
    </row>
    <row r="102" spans="1:26" x14ac:dyDescent="0.3">
      <c r="A102" s="9" t="s">
        <v>272</v>
      </c>
      <c r="B102" s="9" t="s">
        <v>129</v>
      </c>
      <c r="C102" s="9" t="s">
        <v>71</v>
      </c>
      <c r="D102" s="9" t="s">
        <v>52</v>
      </c>
      <c r="E102" s="9" t="s">
        <v>273</v>
      </c>
      <c r="F102" s="9" t="s">
        <v>273</v>
      </c>
      <c r="G102" s="9">
        <v>10.199999999999999</v>
      </c>
      <c r="H102" s="9">
        <v>13</v>
      </c>
      <c r="I102" s="9">
        <v>7</v>
      </c>
      <c r="J102" s="9">
        <v>149</v>
      </c>
      <c r="K102" s="9">
        <v>86</v>
      </c>
      <c r="L102" s="9">
        <v>57.7</v>
      </c>
      <c r="M102" s="9">
        <v>14</v>
      </c>
      <c r="N102" s="9">
        <v>7</v>
      </c>
      <c r="O102" s="9">
        <v>7821</v>
      </c>
      <c r="P102" s="9">
        <v>5</v>
      </c>
      <c r="Q102" s="9">
        <v>79</v>
      </c>
      <c r="R102" s="9">
        <v>49</v>
      </c>
      <c r="S102" s="14" t="s">
        <v>67</v>
      </c>
      <c r="T102" s="9" t="s">
        <v>55</v>
      </c>
      <c r="U102" s="9">
        <v>100</v>
      </c>
      <c r="V102" s="9">
        <v>9.4</v>
      </c>
      <c r="W102" s="9">
        <v>4.7</v>
      </c>
      <c r="X102" s="9">
        <v>57.7</v>
      </c>
      <c r="Y102" s="9">
        <v>52.49</v>
      </c>
      <c r="Z102" s="9" t="b">
        <f>TRUE()</f>
        <v>1</v>
      </c>
    </row>
    <row r="103" spans="1:26" x14ac:dyDescent="0.3">
      <c r="A103" s="11" t="s">
        <v>274</v>
      </c>
      <c r="B103" s="11" t="s">
        <v>96</v>
      </c>
      <c r="C103" s="11" t="s">
        <v>71</v>
      </c>
      <c r="D103" s="11" t="s">
        <v>29</v>
      </c>
      <c r="E103" s="11" t="s">
        <v>134</v>
      </c>
      <c r="F103" s="11" t="s">
        <v>109</v>
      </c>
      <c r="G103" s="11">
        <v>25.6</v>
      </c>
      <c r="H103" s="11">
        <v>12</v>
      </c>
      <c r="I103" s="11">
        <v>6</v>
      </c>
      <c r="J103" s="11">
        <v>30</v>
      </c>
      <c r="K103" s="11">
        <v>22</v>
      </c>
      <c r="L103" s="11">
        <v>73.3</v>
      </c>
      <c r="M103" s="11">
        <v>4</v>
      </c>
      <c r="N103" s="11">
        <v>1</v>
      </c>
      <c r="O103" s="11">
        <v>29115</v>
      </c>
      <c r="P103" s="11">
        <v>7</v>
      </c>
      <c r="Q103" s="11">
        <v>86</v>
      </c>
      <c r="R103" s="11">
        <v>54</v>
      </c>
      <c r="S103" s="13" t="s">
        <v>54</v>
      </c>
      <c r="T103" s="11" t="s">
        <v>44</v>
      </c>
      <c r="U103" s="11">
        <v>46.9</v>
      </c>
      <c r="V103" s="11">
        <v>13.3</v>
      </c>
      <c r="W103" s="11">
        <v>3.3</v>
      </c>
      <c r="X103" s="11">
        <v>73.3</v>
      </c>
      <c r="Y103" s="11">
        <v>970.5</v>
      </c>
      <c r="Z103" s="11" t="b">
        <f>TRUE()</f>
        <v>1</v>
      </c>
    </row>
    <row r="104" spans="1:26" x14ac:dyDescent="0.3">
      <c r="A104" s="9" t="s">
        <v>275</v>
      </c>
      <c r="B104" s="9" t="s">
        <v>64</v>
      </c>
      <c r="C104" s="9" t="s">
        <v>65</v>
      </c>
      <c r="D104" s="9" t="s">
        <v>35</v>
      </c>
      <c r="E104" s="9" t="s">
        <v>143</v>
      </c>
      <c r="F104" s="9" t="s">
        <v>143</v>
      </c>
      <c r="G104" s="9">
        <v>20</v>
      </c>
      <c r="H104" s="9">
        <v>12</v>
      </c>
      <c r="I104" s="9">
        <v>7</v>
      </c>
      <c r="J104" s="9">
        <v>30</v>
      </c>
      <c r="K104" s="9">
        <v>19</v>
      </c>
      <c r="L104" s="9">
        <v>63.3</v>
      </c>
      <c r="M104" s="9">
        <v>3</v>
      </c>
      <c r="N104" s="9">
        <v>3</v>
      </c>
      <c r="O104" s="9">
        <v>44305</v>
      </c>
      <c r="P104" s="9">
        <v>9</v>
      </c>
      <c r="Q104" s="9">
        <v>75</v>
      </c>
      <c r="R104" s="9">
        <v>68</v>
      </c>
      <c r="S104" s="10" t="s">
        <v>31</v>
      </c>
      <c r="T104" s="9" t="s">
        <v>49</v>
      </c>
      <c r="U104" s="9">
        <v>60</v>
      </c>
      <c r="V104" s="9">
        <v>10</v>
      </c>
      <c r="W104" s="9">
        <v>10</v>
      </c>
      <c r="X104" s="9">
        <v>63.3</v>
      </c>
      <c r="Y104" s="9">
        <v>1476.83</v>
      </c>
      <c r="Z104" s="9" t="b">
        <f>TRUE()</f>
        <v>1</v>
      </c>
    </row>
    <row r="105" spans="1:26" x14ac:dyDescent="0.3">
      <c r="A105" s="11" t="s">
        <v>276</v>
      </c>
      <c r="B105" s="11" t="s">
        <v>129</v>
      </c>
      <c r="C105" s="11" t="s">
        <v>71</v>
      </c>
      <c r="D105" s="11" t="s">
        <v>97</v>
      </c>
      <c r="E105" s="11" t="s">
        <v>277</v>
      </c>
      <c r="F105" s="11" t="s">
        <v>277</v>
      </c>
      <c r="G105" s="11">
        <v>22.4</v>
      </c>
      <c r="H105" s="11">
        <v>14</v>
      </c>
      <c r="I105" s="11">
        <v>6</v>
      </c>
      <c r="J105" s="11">
        <v>181</v>
      </c>
      <c r="K105" s="11">
        <v>152</v>
      </c>
      <c r="L105" s="11">
        <v>84</v>
      </c>
      <c r="M105" s="11">
        <v>2</v>
      </c>
      <c r="N105" s="11">
        <v>1</v>
      </c>
      <c r="O105" s="11">
        <v>12088</v>
      </c>
      <c r="P105" s="11">
        <v>10</v>
      </c>
      <c r="Q105" s="11">
        <v>82</v>
      </c>
      <c r="R105" s="11">
        <v>63</v>
      </c>
      <c r="S105" s="10" t="s">
        <v>31</v>
      </c>
      <c r="T105" s="11" t="s">
        <v>86</v>
      </c>
      <c r="U105" s="11">
        <v>62.5</v>
      </c>
      <c r="V105" s="11">
        <v>1.1000000000000001</v>
      </c>
      <c r="W105" s="11">
        <v>0.6</v>
      </c>
      <c r="X105" s="11">
        <v>84</v>
      </c>
      <c r="Y105" s="11">
        <v>66.78</v>
      </c>
      <c r="Z105" s="11" t="b">
        <f>TRUE()</f>
        <v>1</v>
      </c>
    </row>
    <row r="106" spans="1:26" x14ac:dyDescent="0.3">
      <c r="A106" s="9" t="s">
        <v>278</v>
      </c>
      <c r="B106" s="9" t="s">
        <v>178</v>
      </c>
      <c r="C106" s="9" t="s">
        <v>28</v>
      </c>
      <c r="D106" s="9" t="s">
        <v>97</v>
      </c>
      <c r="E106" s="9" t="s">
        <v>109</v>
      </c>
      <c r="F106" s="9" t="s">
        <v>109</v>
      </c>
      <c r="G106" s="9">
        <v>12.8</v>
      </c>
      <c r="H106" s="9">
        <v>14</v>
      </c>
      <c r="I106" s="9">
        <v>2</v>
      </c>
      <c r="J106" s="9">
        <v>109</v>
      </c>
      <c r="K106" s="9">
        <v>75</v>
      </c>
      <c r="L106" s="9">
        <v>68.8</v>
      </c>
      <c r="M106" s="9">
        <v>12</v>
      </c>
      <c r="N106" s="9">
        <v>2</v>
      </c>
      <c r="O106" s="9">
        <v>49628</v>
      </c>
      <c r="P106" s="9">
        <v>1</v>
      </c>
      <c r="Q106" s="9">
        <v>79</v>
      </c>
      <c r="R106" s="9">
        <v>80</v>
      </c>
      <c r="S106" s="10" t="s">
        <v>31</v>
      </c>
      <c r="T106" s="9" t="s">
        <v>74</v>
      </c>
      <c r="U106" s="9">
        <v>100</v>
      </c>
      <c r="V106" s="9">
        <v>11</v>
      </c>
      <c r="W106" s="9">
        <v>1.8</v>
      </c>
      <c r="X106" s="9">
        <v>68.8</v>
      </c>
      <c r="Y106" s="9">
        <v>455.3</v>
      </c>
      <c r="Z106" s="9" t="b">
        <f>FALSE()</f>
        <v>0</v>
      </c>
    </row>
    <row r="107" spans="1:26" x14ac:dyDescent="0.3">
      <c r="A107" s="11" t="s">
        <v>279</v>
      </c>
      <c r="B107" s="11" t="s">
        <v>27</v>
      </c>
      <c r="C107" s="11" t="s">
        <v>28</v>
      </c>
      <c r="D107" s="11" t="s">
        <v>29</v>
      </c>
      <c r="E107" s="11" t="s">
        <v>280</v>
      </c>
      <c r="F107" s="11" t="s">
        <v>280</v>
      </c>
      <c r="G107" s="11">
        <v>14.6</v>
      </c>
      <c r="H107" s="11">
        <v>10</v>
      </c>
      <c r="I107" s="11">
        <v>5</v>
      </c>
      <c r="J107" s="11">
        <v>24</v>
      </c>
      <c r="K107" s="11">
        <v>17</v>
      </c>
      <c r="L107" s="11">
        <v>70.8</v>
      </c>
      <c r="M107" s="11">
        <v>1</v>
      </c>
      <c r="N107" s="11">
        <v>0</v>
      </c>
      <c r="O107" s="11">
        <v>30630</v>
      </c>
      <c r="P107" s="11">
        <v>7</v>
      </c>
      <c r="Q107" s="11">
        <v>76</v>
      </c>
      <c r="R107" s="11">
        <v>59</v>
      </c>
      <c r="S107" s="13" t="s">
        <v>54</v>
      </c>
      <c r="T107" s="11" t="s">
        <v>38</v>
      </c>
      <c r="U107" s="11">
        <v>68.5</v>
      </c>
      <c r="V107" s="11">
        <v>4.2</v>
      </c>
      <c r="W107" s="11">
        <v>0</v>
      </c>
      <c r="X107" s="11">
        <v>70.8</v>
      </c>
      <c r="Y107" s="11">
        <v>1276.25</v>
      </c>
      <c r="Z107" s="11" t="b">
        <f>TRUE()</f>
        <v>1</v>
      </c>
    </row>
    <row r="108" spans="1:26" x14ac:dyDescent="0.3">
      <c r="A108" s="9" t="s">
        <v>281</v>
      </c>
      <c r="B108" s="9" t="s">
        <v>51</v>
      </c>
      <c r="C108" s="9" t="s">
        <v>28</v>
      </c>
      <c r="D108" s="9" t="s">
        <v>97</v>
      </c>
      <c r="E108" s="9" t="s">
        <v>53</v>
      </c>
      <c r="F108" s="9" t="s">
        <v>53</v>
      </c>
      <c r="G108" s="9">
        <v>22.3</v>
      </c>
      <c r="H108" s="9">
        <v>12</v>
      </c>
      <c r="I108" s="9">
        <v>8</v>
      </c>
      <c r="J108" s="9">
        <v>154</v>
      </c>
      <c r="K108" s="9">
        <v>87</v>
      </c>
      <c r="L108" s="9">
        <v>56.5</v>
      </c>
      <c r="M108" s="9">
        <v>10</v>
      </c>
      <c r="N108" s="9">
        <v>9</v>
      </c>
      <c r="O108" s="9">
        <v>14829</v>
      </c>
      <c r="P108" s="9">
        <v>6</v>
      </c>
      <c r="Q108" s="9">
        <v>74</v>
      </c>
      <c r="R108" s="9">
        <v>55</v>
      </c>
      <c r="S108" s="10" t="s">
        <v>31</v>
      </c>
      <c r="T108" s="9" t="s">
        <v>86</v>
      </c>
      <c r="U108" s="9">
        <v>53.8</v>
      </c>
      <c r="V108" s="9">
        <v>6.5</v>
      </c>
      <c r="W108" s="9">
        <v>5.8</v>
      </c>
      <c r="X108" s="9">
        <v>56.5</v>
      </c>
      <c r="Y108" s="9">
        <v>96.29</v>
      </c>
      <c r="Z108" s="9" t="b">
        <f>TRUE()</f>
        <v>1</v>
      </c>
    </row>
    <row r="109" spans="1:26" x14ac:dyDescent="0.3">
      <c r="A109" s="11" t="s">
        <v>282</v>
      </c>
      <c r="B109" s="11" t="s">
        <v>91</v>
      </c>
      <c r="C109" s="11" t="s">
        <v>71</v>
      </c>
      <c r="D109" s="11" t="s">
        <v>61</v>
      </c>
      <c r="E109" s="11" t="s">
        <v>283</v>
      </c>
      <c r="F109" s="11" t="s">
        <v>283</v>
      </c>
      <c r="G109" s="11">
        <v>15.4</v>
      </c>
      <c r="H109" s="11">
        <v>9</v>
      </c>
      <c r="I109" s="11">
        <v>6</v>
      </c>
      <c r="J109" s="11">
        <v>80</v>
      </c>
      <c r="K109" s="11">
        <v>78</v>
      </c>
      <c r="L109" s="11">
        <v>97.5</v>
      </c>
      <c r="M109" s="11">
        <v>9</v>
      </c>
      <c r="N109" s="11">
        <v>4</v>
      </c>
      <c r="O109" s="11">
        <v>61429</v>
      </c>
      <c r="P109" s="11">
        <v>7</v>
      </c>
      <c r="Q109" s="11">
        <v>77</v>
      </c>
      <c r="R109" s="11">
        <v>79</v>
      </c>
      <c r="S109" s="10" t="s">
        <v>31</v>
      </c>
      <c r="T109" s="11" t="s">
        <v>44</v>
      </c>
      <c r="U109" s="11">
        <v>58.4</v>
      </c>
      <c r="V109" s="11">
        <v>11.2</v>
      </c>
      <c r="W109" s="11">
        <v>5</v>
      </c>
      <c r="X109" s="11">
        <v>97.5</v>
      </c>
      <c r="Y109" s="11">
        <v>767.86</v>
      </c>
      <c r="Z109" s="11" t="b">
        <f>FALSE()</f>
        <v>0</v>
      </c>
    </row>
    <row r="110" spans="1:26" x14ac:dyDescent="0.3">
      <c r="A110" s="9" t="s">
        <v>284</v>
      </c>
      <c r="B110" s="9" t="s">
        <v>27</v>
      </c>
      <c r="C110" s="9" t="s">
        <v>28</v>
      </c>
      <c r="D110" s="9" t="s">
        <v>81</v>
      </c>
      <c r="E110" s="9" t="s">
        <v>223</v>
      </c>
      <c r="F110" s="9" t="s">
        <v>223</v>
      </c>
      <c r="G110" s="9">
        <v>15.3</v>
      </c>
      <c r="H110" s="9">
        <v>11</v>
      </c>
      <c r="I110" s="9">
        <v>8</v>
      </c>
      <c r="J110" s="9">
        <v>92</v>
      </c>
      <c r="K110" s="9">
        <v>82</v>
      </c>
      <c r="L110" s="9">
        <v>89.1</v>
      </c>
      <c r="M110" s="9">
        <v>8</v>
      </c>
      <c r="N110" s="9">
        <v>8</v>
      </c>
      <c r="O110" s="9">
        <v>36400</v>
      </c>
      <c r="P110" s="9">
        <v>2</v>
      </c>
      <c r="Q110" s="9">
        <v>76</v>
      </c>
      <c r="R110" s="9">
        <v>96</v>
      </c>
      <c r="S110" s="14" t="s">
        <v>67</v>
      </c>
      <c r="T110" s="9" t="s">
        <v>49</v>
      </c>
      <c r="U110" s="9">
        <v>71.900000000000006</v>
      </c>
      <c r="V110" s="9">
        <v>8.6999999999999993</v>
      </c>
      <c r="W110" s="9">
        <v>8.6999999999999993</v>
      </c>
      <c r="X110" s="9">
        <v>89.1</v>
      </c>
      <c r="Y110" s="9">
        <v>395.65</v>
      </c>
      <c r="Z110" s="9" t="b">
        <f>FALSE()</f>
        <v>0</v>
      </c>
    </row>
    <row r="111" spans="1:26" x14ac:dyDescent="0.3">
      <c r="A111" s="11" t="s">
        <v>285</v>
      </c>
      <c r="B111" s="11" t="s">
        <v>51</v>
      </c>
      <c r="C111" s="11" t="s">
        <v>28</v>
      </c>
      <c r="D111" s="11" t="s">
        <v>29</v>
      </c>
      <c r="E111" s="11" t="s">
        <v>286</v>
      </c>
      <c r="F111" s="11" t="s">
        <v>82</v>
      </c>
      <c r="G111" s="11">
        <v>25.2</v>
      </c>
      <c r="H111" s="11">
        <v>12</v>
      </c>
      <c r="I111" s="11">
        <v>4</v>
      </c>
      <c r="J111" s="11">
        <v>152</v>
      </c>
      <c r="K111" s="11">
        <v>141</v>
      </c>
      <c r="L111" s="11">
        <v>92.8</v>
      </c>
      <c r="M111" s="11">
        <v>9</v>
      </c>
      <c r="N111" s="11">
        <v>1</v>
      </c>
      <c r="O111" s="11">
        <v>62234</v>
      </c>
      <c r="P111" s="11">
        <v>4</v>
      </c>
      <c r="Q111" s="11">
        <v>84</v>
      </c>
      <c r="R111" s="11">
        <v>77</v>
      </c>
      <c r="S111" s="10" t="s">
        <v>31</v>
      </c>
      <c r="T111" s="11" t="s">
        <v>68</v>
      </c>
      <c r="U111" s="11">
        <v>47.6</v>
      </c>
      <c r="V111" s="11">
        <v>5.9</v>
      </c>
      <c r="W111" s="11">
        <v>0.7</v>
      </c>
      <c r="X111" s="11">
        <v>92.8</v>
      </c>
      <c r="Y111" s="11">
        <v>409.43</v>
      </c>
      <c r="Z111" s="11" t="b">
        <f>TRUE()</f>
        <v>1</v>
      </c>
    </row>
    <row r="112" spans="1:26" x14ac:dyDescent="0.3">
      <c r="A112" s="9" t="s">
        <v>287</v>
      </c>
      <c r="B112" s="9" t="s">
        <v>51</v>
      </c>
      <c r="C112" s="9" t="s">
        <v>28</v>
      </c>
      <c r="D112" s="9" t="s">
        <v>58</v>
      </c>
      <c r="E112" s="9" t="s">
        <v>288</v>
      </c>
      <c r="F112" s="9" t="s">
        <v>288</v>
      </c>
      <c r="G112" s="9">
        <v>18.899999999999999</v>
      </c>
      <c r="H112" s="9">
        <v>9</v>
      </c>
      <c r="I112" s="9">
        <v>3</v>
      </c>
      <c r="J112" s="9">
        <v>126</v>
      </c>
      <c r="K112" s="9">
        <v>72</v>
      </c>
      <c r="L112" s="9">
        <v>57.1</v>
      </c>
      <c r="M112" s="9">
        <v>16</v>
      </c>
      <c r="N112" s="9">
        <v>11</v>
      </c>
      <c r="O112" s="9">
        <v>22683</v>
      </c>
      <c r="P112" s="9">
        <v>1</v>
      </c>
      <c r="Q112" s="9">
        <v>81</v>
      </c>
      <c r="R112" s="9">
        <v>59</v>
      </c>
      <c r="S112" s="10" t="s">
        <v>31</v>
      </c>
      <c r="T112" s="9" t="s">
        <v>55</v>
      </c>
      <c r="U112" s="9">
        <v>47.6</v>
      </c>
      <c r="V112" s="9">
        <v>12.7</v>
      </c>
      <c r="W112" s="9">
        <v>8.6999999999999993</v>
      </c>
      <c r="X112" s="9">
        <v>57.1</v>
      </c>
      <c r="Y112" s="9">
        <v>180.02</v>
      </c>
      <c r="Z112" s="9" t="b">
        <f>TRUE()</f>
        <v>1</v>
      </c>
    </row>
    <row r="113" spans="1:26" x14ac:dyDescent="0.3">
      <c r="A113" s="11" t="s">
        <v>289</v>
      </c>
      <c r="B113" s="11" t="s">
        <v>79</v>
      </c>
      <c r="C113" s="11" t="s">
        <v>80</v>
      </c>
      <c r="D113" s="11" t="s">
        <v>42</v>
      </c>
      <c r="E113" s="11" t="s">
        <v>290</v>
      </c>
      <c r="F113" s="11" t="s">
        <v>290</v>
      </c>
      <c r="G113" s="11">
        <v>16.600000000000001</v>
      </c>
      <c r="H113" s="11">
        <v>8</v>
      </c>
      <c r="I113" s="11">
        <v>7</v>
      </c>
      <c r="J113" s="11">
        <v>140</v>
      </c>
      <c r="K113" s="11">
        <v>120</v>
      </c>
      <c r="L113" s="11">
        <v>85.7</v>
      </c>
      <c r="M113" s="11">
        <v>4</v>
      </c>
      <c r="N113" s="11">
        <v>3</v>
      </c>
      <c r="O113" s="11">
        <v>38645</v>
      </c>
      <c r="P113" s="11">
        <v>0</v>
      </c>
      <c r="Q113" s="11">
        <v>72</v>
      </c>
      <c r="R113" s="11">
        <v>46</v>
      </c>
      <c r="S113" s="10" t="s">
        <v>31</v>
      </c>
      <c r="T113" s="11" t="s">
        <v>38</v>
      </c>
      <c r="U113" s="11">
        <v>48.2</v>
      </c>
      <c r="V113" s="11">
        <v>2.9</v>
      </c>
      <c r="W113" s="11">
        <v>2.1</v>
      </c>
      <c r="X113" s="11">
        <v>85.7</v>
      </c>
      <c r="Y113" s="11">
        <v>276.04000000000002</v>
      </c>
      <c r="Z113" s="11" t="b">
        <f>TRUE()</f>
        <v>1</v>
      </c>
    </row>
    <row r="114" spans="1:26" x14ac:dyDescent="0.3">
      <c r="A114" s="9" t="s">
        <v>291</v>
      </c>
      <c r="B114" s="9" t="s">
        <v>178</v>
      </c>
      <c r="C114" s="9" t="s">
        <v>28</v>
      </c>
      <c r="D114" s="9" t="s">
        <v>52</v>
      </c>
      <c r="E114" s="9" t="s">
        <v>226</v>
      </c>
      <c r="F114" s="9" t="s">
        <v>226</v>
      </c>
      <c r="G114" s="9">
        <v>8.1</v>
      </c>
      <c r="H114" s="9">
        <v>7</v>
      </c>
      <c r="I114" s="9">
        <v>4</v>
      </c>
      <c r="J114" s="9">
        <v>32</v>
      </c>
      <c r="K114" s="9">
        <v>21</v>
      </c>
      <c r="L114" s="9">
        <v>65.599999999999994</v>
      </c>
      <c r="M114" s="9">
        <v>4</v>
      </c>
      <c r="N114" s="9">
        <v>3</v>
      </c>
      <c r="O114" s="9">
        <v>9711</v>
      </c>
      <c r="P114" s="9">
        <v>7</v>
      </c>
      <c r="Q114" s="9">
        <v>89</v>
      </c>
      <c r="R114" s="9">
        <v>79</v>
      </c>
      <c r="S114" s="10" t="s">
        <v>31</v>
      </c>
      <c r="T114" s="9" t="s">
        <v>77</v>
      </c>
      <c r="U114" s="9">
        <v>86.4</v>
      </c>
      <c r="V114" s="9">
        <v>12.5</v>
      </c>
      <c r="W114" s="9">
        <v>9.4</v>
      </c>
      <c r="X114" s="9">
        <v>65.599999999999994</v>
      </c>
      <c r="Y114" s="9">
        <v>303.47000000000003</v>
      </c>
      <c r="Z114" s="9" t="b">
        <f>TRUE()</f>
        <v>1</v>
      </c>
    </row>
    <row r="115" spans="1:26" x14ac:dyDescent="0.3">
      <c r="A115" s="11" t="s">
        <v>292</v>
      </c>
      <c r="B115" s="11" t="s">
        <v>64</v>
      </c>
      <c r="C115" s="11" t="s">
        <v>65</v>
      </c>
      <c r="D115" s="11" t="s">
        <v>42</v>
      </c>
      <c r="E115" s="11" t="s">
        <v>293</v>
      </c>
      <c r="F115" s="11" t="s">
        <v>293</v>
      </c>
      <c r="G115" s="11">
        <v>10.8</v>
      </c>
      <c r="H115" s="11">
        <v>8</v>
      </c>
      <c r="I115" s="11">
        <v>1</v>
      </c>
      <c r="J115" s="11">
        <v>177</v>
      </c>
      <c r="K115" s="11">
        <v>125</v>
      </c>
      <c r="L115" s="11">
        <v>70.599999999999994</v>
      </c>
      <c r="M115" s="11">
        <v>18</v>
      </c>
      <c r="N115" s="11">
        <v>13</v>
      </c>
      <c r="O115" s="11">
        <v>19049</v>
      </c>
      <c r="P115" s="11">
        <v>10</v>
      </c>
      <c r="Q115" s="11">
        <v>72</v>
      </c>
      <c r="R115" s="11">
        <v>78</v>
      </c>
      <c r="S115" s="13" t="s">
        <v>54</v>
      </c>
      <c r="T115" s="11" t="s">
        <v>55</v>
      </c>
      <c r="U115" s="11">
        <v>74.099999999999994</v>
      </c>
      <c r="V115" s="11">
        <v>10.199999999999999</v>
      </c>
      <c r="W115" s="11">
        <v>7.3</v>
      </c>
      <c r="X115" s="11">
        <v>70.599999999999994</v>
      </c>
      <c r="Y115" s="11">
        <v>107.62</v>
      </c>
      <c r="Z115" s="11" t="b">
        <f>FALSE()</f>
        <v>0</v>
      </c>
    </row>
    <row r="116" spans="1:26" x14ac:dyDescent="0.3">
      <c r="A116" s="9" t="s">
        <v>294</v>
      </c>
      <c r="B116" s="9" t="s">
        <v>70</v>
      </c>
      <c r="C116" s="9" t="s">
        <v>71</v>
      </c>
      <c r="D116" s="9" t="s">
        <v>52</v>
      </c>
      <c r="E116" s="9" t="s">
        <v>295</v>
      </c>
      <c r="F116" s="9" t="s">
        <v>295</v>
      </c>
      <c r="G116" s="9">
        <v>6.6</v>
      </c>
      <c r="H116" s="9">
        <v>4</v>
      </c>
      <c r="I116" s="9">
        <v>6</v>
      </c>
      <c r="J116" s="9">
        <v>115</v>
      </c>
      <c r="K116" s="9">
        <v>76</v>
      </c>
      <c r="L116" s="9">
        <v>66.099999999999994</v>
      </c>
      <c r="M116" s="9">
        <v>0</v>
      </c>
      <c r="N116" s="9">
        <v>0</v>
      </c>
      <c r="O116" s="9">
        <v>64139</v>
      </c>
      <c r="P116" s="9">
        <v>5</v>
      </c>
      <c r="Q116" s="9">
        <v>77</v>
      </c>
      <c r="R116" s="9">
        <v>91</v>
      </c>
      <c r="S116" s="14" t="s">
        <v>67</v>
      </c>
      <c r="T116" s="9" t="s">
        <v>55</v>
      </c>
      <c r="U116" s="9">
        <v>60.6</v>
      </c>
      <c r="V116" s="9">
        <v>0</v>
      </c>
      <c r="W116" s="9">
        <v>0</v>
      </c>
      <c r="X116" s="9">
        <v>66.099999999999994</v>
      </c>
      <c r="Y116" s="9">
        <v>557.73</v>
      </c>
      <c r="Z116" s="9" t="b">
        <f>FALSE()</f>
        <v>0</v>
      </c>
    </row>
    <row r="117" spans="1:26" x14ac:dyDescent="0.3">
      <c r="A117" s="11" t="s">
        <v>296</v>
      </c>
      <c r="B117" s="11" t="s">
        <v>79</v>
      </c>
      <c r="C117" s="11" t="s">
        <v>80</v>
      </c>
      <c r="D117" s="11" t="s">
        <v>102</v>
      </c>
      <c r="E117" s="11" t="s">
        <v>297</v>
      </c>
      <c r="F117" s="11" t="s">
        <v>297</v>
      </c>
      <c r="G117" s="11">
        <v>13.7</v>
      </c>
      <c r="H117" s="11">
        <v>9</v>
      </c>
      <c r="I117" s="11">
        <v>1</v>
      </c>
      <c r="J117" s="11">
        <v>184</v>
      </c>
      <c r="K117" s="11">
        <v>115</v>
      </c>
      <c r="L117" s="11">
        <v>62.5</v>
      </c>
      <c r="M117" s="11">
        <v>24</v>
      </c>
      <c r="N117" s="11">
        <v>21</v>
      </c>
      <c r="O117" s="11">
        <v>39847</v>
      </c>
      <c r="P117" s="11">
        <v>7</v>
      </c>
      <c r="Q117" s="11">
        <v>90</v>
      </c>
      <c r="R117" s="11">
        <v>56</v>
      </c>
      <c r="S117" s="12" t="s">
        <v>37</v>
      </c>
      <c r="T117" s="11" t="s">
        <v>55</v>
      </c>
      <c r="U117" s="11">
        <v>65.7</v>
      </c>
      <c r="V117" s="11">
        <v>13</v>
      </c>
      <c r="W117" s="11">
        <v>11.4</v>
      </c>
      <c r="X117" s="11">
        <v>62.5</v>
      </c>
      <c r="Y117" s="11">
        <v>216.56</v>
      </c>
      <c r="Z117" s="11" t="b">
        <f>TRUE()</f>
        <v>1</v>
      </c>
    </row>
    <row r="118" spans="1:26" x14ac:dyDescent="0.3">
      <c r="A118" s="9" t="s">
        <v>298</v>
      </c>
      <c r="B118" s="9" t="s">
        <v>40</v>
      </c>
      <c r="C118" s="9" t="s">
        <v>41</v>
      </c>
      <c r="D118" s="9" t="s">
        <v>126</v>
      </c>
      <c r="E118" s="9" t="s">
        <v>299</v>
      </c>
      <c r="F118" s="9" t="s">
        <v>299</v>
      </c>
      <c r="G118" s="9">
        <v>7.5</v>
      </c>
      <c r="H118" s="9">
        <v>4</v>
      </c>
      <c r="I118" s="9">
        <v>6</v>
      </c>
      <c r="J118" s="9">
        <v>30</v>
      </c>
      <c r="K118" s="9">
        <v>20</v>
      </c>
      <c r="L118" s="9">
        <v>66.7</v>
      </c>
      <c r="M118" s="9">
        <v>2</v>
      </c>
      <c r="N118" s="9">
        <v>2</v>
      </c>
      <c r="O118" s="9">
        <v>34867</v>
      </c>
      <c r="P118" s="9">
        <v>8</v>
      </c>
      <c r="Q118" s="9">
        <v>85</v>
      </c>
      <c r="R118" s="9">
        <v>61</v>
      </c>
      <c r="S118" s="10" t="s">
        <v>31</v>
      </c>
      <c r="T118" s="9" t="s">
        <v>83</v>
      </c>
      <c r="U118" s="9">
        <v>53.3</v>
      </c>
      <c r="V118" s="9">
        <v>6.7</v>
      </c>
      <c r="W118" s="9">
        <v>6.7</v>
      </c>
      <c r="X118" s="9">
        <v>66.7</v>
      </c>
      <c r="Y118" s="9">
        <v>1162.23</v>
      </c>
      <c r="Z118" s="9" t="b">
        <f>TRUE()</f>
        <v>1</v>
      </c>
    </row>
    <row r="119" spans="1:26" x14ac:dyDescent="0.3">
      <c r="A119" s="11" t="s">
        <v>300</v>
      </c>
      <c r="B119" s="11" t="s">
        <v>51</v>
      </c>
      <c r="C119" s="11" t="s">
        <v>28</v>
      </c>
      <c r="D119" s="11" t="s">
        <v>58</v>
      </c>
      <c r="E119" s="11" t="s">
        <v>301</v>
      </c>
      <c r="F119" s="11" t="s">
        <v>301</v>
      </c>
      <c r="G119" s="11">
        <v>16.8</v>
      </c>
      <c r="H119" s="11">
        <v>14</v>
      </c>
      <c r="I119" s="11">
        <v>5</v>
      </c>
      <c r="J119" s="11">
        <v>51</v>
      </c>
      <c r="K119" s="11">
        <v>46</v>
      </c>
      <c r="L119" s="11">
        <v>90.2</v>
      </c>
      <c r="M119" s="11">
        <v>6</v>
      </c>
      <c r="N119" s="11">
        <v>3</v>
      </c>
      <c r="O119" s="11">
        <v>60748</v>
      </c>
      <c r="P119" s="11">
        <v>6</v>
      </c>
      <c r="Q119" s="11">
        <v>80</v>
      </c>
      <c r="R119" s="11">
        <v>56</v>
      </c>
      <c r="S119" s="10" t="s">
        <v>31</v>
      </c>
      <c r="T119" s="11" t="s">
        <v>44</v>
      </c>
      <c r="U119" s="11">
        <v>83.3</v>
      </c>
      <c r="V119" s="11">
        <v>11.8</v>
      </c>
      <c r="W119" s="11">
        <v>5.9</v>
      </c>
      <c r="X119" s="11">
        <v>90.2</v>
      </c>
      <c r="Y119" s="11">
        <v>1191.1400000000001</v>
      </c>
      <c r="Z119" s="11" t="b">
        <f>TRUE()</f>
        <v>1</v>
      </c>
    </row>
    <row r="120" spans="1:26" x14ac:dyDescent="0.3">
      <c r="A120" s="9" t="s">
        <v>302</v>
      </c>
      <c r="B120" s="9" t="s">
        <v>129</v>
      </c>
      <c r="C120" s="9" t="s">
        <v>71</v>
      </c>
      <c r="D120" s="9" t="s">
        <v>102</v>
      </c>
      <c r="E120" s="9" t="s">
        <v>303</v>
      </c>
      <c r="F120" s="9" t="s">
        <v>303</v>
      </c>
      <c r="G120" s="9">
        <v>20.100000000000001</v>
      </c>
      <c r="H120" s="9">
        <v>15</v>
      </c>
      <c r="I120" s="9">
        <v>7</v>
      </c>
      <c r="J120" s="9">
        <v>130</v>
      </c>
      <c r="K120" s="9">
        <v>106</v>
      </c>
      <c r="L120" s="9">
        <v>81.5</v>
      </c>
      <c r="M120" s="9">
        <v>5</v>
      </c>
      <c r="N120" s="9">
        <v>4</v>
      </c>
      <c r="O120" s="9">
        <v>27032</v>
      </c>
      <c r="P120" s="9">
        <v>1</v>
      </c>
      <c r="Q120" s="9">
        <v>72</v>
      </c>
      <c r="R120" s="9">
        <v>65</v>
      </c>
      <c r="S120" s="14" t="s">
        <v>67</v>
      </c>
      <c r="T120" s="9" t="s">
        <v>49</v>
      </c>
      <c r="U120" s="9">
        <v>74.599999999999994</v>
      </c>
      <c r="V120" s="9">
        <v>3.8</v>
      </c>
      <c r="W120" s="9">
        <v>3.1</v>
      </c>
      <c r="X120" s="9">
        <v>81.5</v>
      </c>
      <c r="Y120" s="9">
        <v>207.94</v>
      </c>
      <c r="Z120" s="9" t="b">
        <f>TRUE()</f>
        <v>1</v>
      </c>
    </row>
    <row r="121" spans="1:26" x14ac:dyDescent="0.3">
      <c r="A121" s="11" t="s">
        <v>304</v>
      </c>
      <c r="B121" s="11" t="s">
        <v>79</v>
      </c>
      <c r="C121" s="11" t="s">
        <v>80</v>
      </c>
      <c r="D121" s="11" t="s">
        <v>35</v>
      </c>
      <c r="E121" s="11" t="s">
        <v>305</v>
      </c>
      <c r="F121" s="11" t="s">
        <v>305</v>
      </c>
      <c r="G121" s="11">
        <v>13.5</v>
      </c>
      <c r="H121" s="11">
        <v>11</v>
      </c>
      <c r="I121" s="11">
        <v>6</v>
      </c>
      <c r="J121" s="11">
        <v>30</v>
      </c>
      <c r="K121" s="11">
        <v>26</v>
      </c>
      <c r="L121" s="11">
        <v>86.7</v>
      </c>
      <c r="M121" s="11">
        <v>2</v>
      </c>
      <c r="N121" s="11">
        <v>2</v>
      </c>
      <c r="O121" s="11">
        <v>79861</v>
      </c>
      <c r="P121" s="11">
        <v>4</v>
      </c>
      <c r="Q121" s="11">
        <v>90</v>
      </c>
      <c r="R121" s="11">
        <v>95</v>
      </c>
      <c r="S121" s="13" t="s">
        <v>54</v>
      </c>
      <c r="T121" s="11" t="s">
        <v>55</v>
      </c>
      <c r="U121" s="11">
        <v>81.5</v>
      </c>
      <c r="V121" s="11">
        <v>6.7</v>
      </c>
      <c r="W121" s="11">
        <v>6.7</v>
      </c>
      <c r="X121" s="11">
        <v>86.7</v>
      </c>
      <c r="Y121" s="11">
        <v>2662.03</v>
      </c>
      <c r="Z121" s="11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A5"/>
  </sheetPr>
  <dimension ref="A1:P19"/>
  <sheetViews>
    <sheetView showGridLines="0" tabSelected="1" zoomScaleNormal="100" workbookViewId="0">
      <selection activeCell="M19" sqref="M19:O19"/>
    </sheetView>
  </sheetViews>
  <sheetFormatPr defaultColWidth="8.6640625" defaultRowHeight="14.4" x14ac:dyDescent="0.3"/>
  <sheetData>
    <row r="1" spans="1:16" ht="12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0" customHeight="1" x14ac:dyDescent="0.3">
      <c r="A2" s="6" t="s">
        <v>306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9.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8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9.5" customHeight="1" x14ac:dyDescent="0.3">
      <c r="A5" s="5" t="s">
        <v>307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3.7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9.75" customHeight="1" x14ac:dyDescent="0.3"/>
    <row r="8" spans="1:16" ht="19.5" customHeight="1" x14ac:dyDescent="0.3"/>
    <row r="9" spans="1:16" ht="18" customHeight="1" x14ac:dyDescent="0.3">
      <c r="A9" s="42" t="s">
        <v>308</v>
      </c>
      <c r="B9" s="42"/>
      <c r="C9" s="42"/>
      <c r="E9" s="43" t="s">
        <v>309</v>
      </c>
      <c r="F9" s="43"/>
      <c r="G9" s="43"/>
      <c r="I9" s="44" t="s">
        <v>310</v>
      </c>
      <c r="J9" s="44"/>
      <c r="K9" s="44"/>
      <c r="M9" s="45" t="s">
        <v>311</v>
      </c>
      <c r="N9" s="45"/>
      <c r="O9" s="45"/>
    </row>
    <row r="10" spans="1:16" ht="18" customHeight="1" x14ac:dyDescent="0.3">
      <c r="A10" s="48" t="s">
        <v>312</v>
      </c>
      <c r="B10" s="48"/>
      <c r="C10" s="48"/>
      <c r="E10" s="49" t="s">
        <v>313</v>
      </c>
      <c r="F10" s="49"/>
      <c r="G10" s="49"/>
      <c r="I10" s="50" t="s">
        <v>314</v>
      </c>
      <c r="J10" s="50"/>
      <c r="K10" s="50"/>
      <c r="M10" s="51" t="s">
        <v>315</v>
      </c>
      <c r="N10" s="51"/>
      <c r="O10" s="51"/>
    </row>
    <row r="11" spans="1:16" ht="18" customHeight="1" x14ac:dyDescent="0.3">
      <c r="A11" s="16"/>
      <c r="B11" s="16"/>
      <c r="C11" s="16"/>
      <c r="E11" s="17"/>
      <c r="F11" s="17"/>
      <c r="G11" s="17"/>
      <c r="I11" s="18"/>
      <c r="J11" s="18"/>
      <c r="K11" s="18"/>
      <c r="M11" s="19"/>
      <c r="N11" s="19"/>
      <c r="O11" s="19"/>
    </row>
    <row r="12" spans="1:16" ht="18" customHeight="1" x14ac:dyDescent="0.3">
      <c r="A12" s="16"/>
      <c r="B12" s="16"/>
      <c r="C12" s="16"/>
      <c r="E12" s="17"/>
      <c r="F12" s="17"/>
      <c r="G12" s="17"/>
      <c r="I12" s="18"/>
      <c r="J12" s="18"/>
      <c r="K12" s="18"/>
      <c r="M12" s="19"/>
      <c r="N12" s="19"/>
      <c r="O12" s="19"/>
    </row>
    <row r="13" spans="1:16" ht="18" customHeight="1" x14ac:dyDescent="0.3">
      <c r="A13" s="59" t="s">
        <v>316</v>
      </c>
      <c r="B13" s="59"/>
      <c r="C13" s="59"/>
      <c r="E13" s="58" t="s">
        <v>317</v>
      </c>
      <c r="F13" s="58"/>
      <c r="G13" s="58"/>
      <c r="I13" s="60" t="s">
        <v>318</v>
      </c>
      <c r="J13" s="60"/>
      <c r="K13" s="60"/>
      <c r="M13" s="61" t="s">
        <v>319</v>
      </c>
      <c r="N13" s="61"/>
      <c r="O13" s="61"/>
    </row>
    <row r="15" spans="1:16" ht="18" customHeight="1" x14ac:dyDescent="0.3">
      <c r="A15" s="46" t="s">
        <v>320</v>
      </c>
      <c r="B15" s="46"/>
      <c r="C15" s="46"/>
      <c r="E15" s="52" t="s">
        <v>321</v>
      </c>
      <c r="F15" s="52"/>
      <c r="G15" s="52"/>
      <c r="I15" s="53" t="s">
        <v>322</v>
      </c>
      <c r="J15" s="53"/>
      <c r="K15" s="53"/>
      <c r="M15" s="54" t="s">
        <v>323</v>
      </c>
      <c r="N15" s="54"/>
      <c r="O15" s="54"/>
    </row>
    <row r="16" spans="1:16" ht="18" customHeight="1" x14ac:dyDescent="0.3">
      <c r="A16" s="47" t="s">
        <v>324</v>
      </c>
      <c r="B16" s="47"/>
      <c r="C16" s="47"/>
      <c r="E16" s="55" t="s">
        <v>325</v>
      </c>
      <c r="F16" s="55"/>
      <c r="G16" s="55"/>
      <c r="I16" s="56" t="s">
        <v>313</v>
      </c>
      <c r="J16" s="56"/>
      <c r="K16" s="56"/>
      <c r="M16" s="57" t="s">
        <v>326</v>
      </c>
      <c r="N16" s="57"/>
      <c r="O16" s="57"/>
    </row>
    <row r="17" spans="1:15" ht="18" customHeight="1" x14ac:dyDescent="0.3">
      <c r="A17" s="20"/>
      <c r="B17" s="20"/>
      <c r="C17" s="20"/>
      <c r="E17" s="21"/>
      <c r="F17" s="21"/>
      <c r="G17" s="21"/>
      <c r="I17" s="15"/>
      <c r="J17" s="15"/>
      <c r="K17" s="15"/>
      <c r="M17" s="22"/>
      <c r="N17" s="22"/>
      <c r="O17" s="22"/>
    </row>
    <row r="18" spans="1:15" ht="18" customHeight="1" x14ac:dyDescent="0.3">
      <c r="A18" s="20"/>
      <c r="B18" s="20"/>
      <c r="C18" s="20"/>
      <c r="E18" s="21"/>
      <c r="F18" s="21"/>
      <c r="G18" s="21"/>
      <c r="I18" s="15"/>
      <c r="J18" s="15"/>
      <c r="K18" s="15"/>
      <c r="M18" s="22"/>
      <c r="N18" s="22"/>
      <c r="O18" s="22"/>
    </row>
    <row r="19" spans="1:15" ht="18" customHeight="1" x14ac:dyDescent="0.3">
      <c r="A19" s="62" t="s">
        <v>327</v>
      </c>
      <c r="B19" s="62"/>
      <c r="C19" s="62"/>
      <c r="E19" s="63" t="s">
        <v>328</v>
      </c>
      <c r="F19" s="63"/>
      <c r="G19" s="63"/>
      <c r="I19" s="64" t="s">
        <v>329</v>
      </c>
      <c r="J19" s="64"/>
      <c r="K19" s="64"/>
      <c r="M19" s="65" t="s">
        <v>330</v>
      </c>
      <c r="N19" s="65"/>
      <c r="O19" s="65"/>
    </row>
  </sheetData>
  <mergeCells count="28">
    <mergeCell ref="A19:C19"/>
    <mergeCell ref="E19:G19"/>
    <mergeCell ref="I19:K19"/>
    <mergeCell ref="M19:O19"/>
    <mergeCell ref="M10:O10"/>
    <mergeCell ref="E15:G15"/>
    <mergeCell ref="I15:K15"/>
    <mergeCell ref="M15:O15"/>
    <mergeCell ref="E16:G16"/>
    <mergeCell ref="I16:K16"/>
    <mergeCell ref="M16:O16"/>
    <mergeCell ref="E13:G13"/>
    <mergeCell ref="I13:K13"/>
    <mergeCell ref="M13:O13"/>
    <mergeCell ref="A15:C15"/>
    <mergeCell ref="A16:C16"/>
    <mergeCell ref="A10:C10"/>
    <mergeCell ref="E10:G10"/>
    <mergeCell ref="I10:K10"/>
    <mergeCell ref="A13:C13"/>
    <mergeCell ref="A1:P1"/>
    <mergeCell ref="A2:P4"/>
    <mergeCell ref="A5:P5"/>
    <mergeCell ref="A6:P6"/>
    <mergeCell ref="A9:C9"/>
    <mergeCell ref="E9:G9"/>
    <mergeCell ref="I9:K9"/>
    <mergeCell ref="M9:O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18" customWidth="1"/>
    <col min="2" max="2" width="12" customWidth="1"/>
    <col min="3" max="5" width="16" customWidth="1"/>
    <col min="6" max="6" width="14" customWidth="1"/>
    <col min="7" max="7" width="13" customWidth="1"/>
    <col min="8" max="8" width="16" customWidth="1"/>
  </cols>
  <sheetData>
    <row r="1" spans="1:10" ht="34.5" customHeight="1" x14ac:dyDescent="0.3">
      <c r="A1" s="3" t="s">
        <v>331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">
      <c r="A2" s="2" t="s">
        <v>332</v>
      </c>
      <c r="B2" s="2"/>
      <c r="C2" s="2"/>
      <c r="D2" s="2"/>
      <c r="E2" s="2"/>
      <c r="F2" s="2"/>
      <c r="G2" s="2"/>
      <c r="H2" s="2"/>
      <c r="I2" s="2"/>
      <c r="J2" s="2"/>
    </row>
    <row r="3" spans="1:10" ht="7.5" customHeight="1" x14ac:dyDescent="0.3"/>
    <row r="4" spans="1:10" ht="21.75" customHeight="1" x14ac:dyDescent="0.3">
      <c r="A4" s="23" t="s">
        <v>2</v>
      </c>
      <c r="B4" s="23" t="s">
        <v>333</v>
      </c>
      <c r="C4" s="23" t="s">
        <v>334</v>
      </c>
      <c r="D4" s="23" t="s">
        <v>335</v>
      </c>
      <c r="E4" s="23" t="s">
        <v>336</v>
      </c>
      <c r="F4" s="23" t="s">
        <v>337</v>
      </c>
      <c r="G4" s="23" t="s">
        <v>338</v>
      </c>
      <c r="H4" s="23" t="s">
        <v>339</v>
      </c>
    </row>
    <row r="5" spans="1:10" ht="18" customHeight="1" x14ac:dyDescent="0.3">
      <c r="A5" s="24" t="s">
        <v>65</v>
      </c>
      <c r="B5" s="24">
        <v>9</v>
      </c>
      <c r="C5" s="25">
        <v>71.72</v>
      </c>
      <c r="D5" s="24">
        <v>70.91</v>
      </c>
      <c r="E5" s="26">
        <v>320496</v>
      </c>
      <c r="F5" s="24">
        <v>9.57</v>
      </c>
      <c r="G5" s="24">
        <v>7</v>
      </c>
      <c r="H5" s="24">
        <v>13.1</v>
      </c>
    </row>
    <row r="6" spans="1:10" ht="18" customHeight="1" x14ac:dyDescent="0.3">
      <c r="A6" s="27" t="s">
        <v>28</v>
      </c>
      <c r="B6" s="27">
        <v>39</v>
      </c>
      <c r="C6" s="28">
        <v>69.180000000000007</v>
      </c>
      <c r="D6" s="27">
        <v>77.88</v>
      </c>
      <c r="E6" s="29">
        <v>1518345</v>
      </c>
      <c r="F6" s="27">
        <v>8.42</v>
      </c>
      <c r="G6" s="27">
        <v>22</v>
      </c>
      <c r="H6" s="27">
        <v>14.88</v>
      </c>
    </row>
    <row r="7" spans="1:10" ht="18" customHeight="1" x14ac:dyDescent="0.3">
      <c r="A7" s="24" t="s">
        <v>47</v>
      </c>
      <c r="B7" s="24">
        <v>15</v>
      </c>
      <c r="C7" s="25">
        <v>73.75</v>
      </c>
      <c r="D7" s="24">
        <v>83.57</v>
      </c>
      <c r="E7" s="26">
        <v>559213</v>
      </c>
      <c r="F7" s="24">
        <v>6.05</v>
      </c>
      <c r="G7" s="24">
        <v>8</v>
      </c>
      <c r="H7" s="24">
        <v>13.95</v>
      </c>
    </row>
    <row r="8" spans="1:10" ht="18" customHeight="1" x14ac:dyDescent="0.3">
      <c r="A8" s="27" t="s">
        <v>41</v>
      </c>
      <c r="B8" s="27">
        <v>11</v>
      </c>
      <c r="C8" s="28">
        <v>62.52</v>
      </c>
      <c r="D8" s="27">
        <v>70.2</v>
      </c>
      <c r="E8" s="29">
        <v>478405</v>
      </c>
      <c r="F8" s="27">
        <v>7.56</v>
      </c>
      <c r="G8" s="27">
        <v>8</v>
      </c>
      <c r="H8" s="27">
        <v>12.42</v>
      </c>
    </row>
    <row r="9" spans="1:10" ht="18" customHeight="1" x14ac:dyDescent="0.3">
      <c r="A9" s="24" t="s">
        <v>115</v>
      </c>
      <c r="B9" s="24">
        <v>6</v>
      </c>
      <c r="C9" s="25">
        <v>72.099999999999994</v>
      </c>
      <c r="D9" s="24">
        <v>74.349999999999994</v>
      </c>
      <c r="E9" s="26">
        <v>254924</v>
      </c>
      <c r="F9" s="24">
        <v>7.7</v>
      </c>
      <c r="G9" s="24">
        <v>4</v>
      </c>
      <c r="H9" s="24">
        <v>15.58</v>
      </c>
    </row>
    <row r="10" spans="1:10" ht="18" customHeight="1" x14ac:dyDescent="0.3">
      <c r="A10" s="27" t="s">
        <v>71</v>
      </c>
      <c r="B10" s="27">
        <v>30</v>
      </c>
      <c r="C10" s="28">
        <v>68.28</v>
      </c>
      <c r="D10" s="27">
        <v>74.83</v>
      </c>
      <c r="E10" s="29">
        <v>1385861</v>
      </c>
      <c r="F10" s="27">
        <v>8.1199999999999992</v>
      </c>
      <c r="G10" s="27">
        <v>22</v>
      </c>
      <c r="H10" s="27">
        <v>15.97</v>
      </c>
    </row>
    <row r="11" spans="1:10" ht="18" customHeight="1" x14ac:dyDescent="0.3">
      <c r="A11" s="24" t="s">
        <v>80</v>
      </c>
      <c r="B11" s="24">
        <v>10</v>
      </c>
      <c r="C11" s="25">
        <v>77.2</v>
      </c>
      <c r="D11" s="24">
        <v>82.38</v>
      </c>
      <c r="E11" s="26">
        <v>393207</v>
      </c>
      <c r="F11" s="24">
        <v>8.84</v>
      </c>
      <c r="G11" s="24">
        <v>7</v>
      </c>
      <c r="H11" s="24">
        <v>14.6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" width="28" customWidth="1"/>
    <col min="2" max="2" width="7" customWidth="1"/>
    <col min="3" max="5" width="13" customWidth="1"/>
    <col min="6" max="9" width="14" customWidth="1"/>
    <col min="10" max="10" width="11" customWidth="1"/>
  </cols>
  <sheetData>
    <row r="1" spans="1:12" ht="34.5" customHeight="1" x14ac:dyDescent="0.3">
      <c r="A1" s="3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ht="28.2" customHeight="1" x14ac:dyDescent="0.3">
      <c r="A3" s="23" t="s">
        <v>1</v>
      </c>
      <c r="B3" s="23" t="s">
        <v>341</v>
      </c>
      <c r="C3" s="23" t="s">
        <v>311</v>
      </c>
      <c r="D3" s="23" t="s">
        <v>342</v>
      </c>
      <c r="E3" s="23" t="s">
        <v>343</v>
      </c>
      <c r="F3" s="23" t="s">
        <v>334</v>
      </c>
      <c r="G3" s="23" t="s">
        <v>336</v>
      </c>
      <c r="H3" s="23" t="s">
        <v>337</v>
      </c>
      <c r="I3" s="23" t="s">
        <v>335</v>
      </c>
      <c r="J3" s="23" t="s">
        <v>338</v>
      </c>
    </row>
    <row r="4" spans="1:12" ht="18" customHeight="1" x14ac:dyDescent="0.3">
      <c r="A4" s="24" t="s">
        <v>51</v>
      </c>
      <c r="B4" s="24">
        <v>13</v>
      </c>
      <c r="C4" s="24">
        <v>17.64</v>
      </c>
      <c r="D4" s="24">
        <v>10</v>
      </c>
      <c r="E4" s="30">
        <v>7.64</v>
      </c>
      <c r="F4" s="24">
        <v>60.21</v>
      </c>
      <c r="G4" s="24">
        <v>596648</v>
      </c>
      <c r="H4" s="24">
        <v>8.93</v>
      </c>
      <c r="I4" s="24">
        <v>80.19</v>
      </c>
      <c r="J4" s="24">
        <v>8</v>
      </c>
    </row>
    <row r="5" spans="1:12" ht="18" customHeight="1" x14ac:dyDescent="0.3">
      <c r="A5" s="27" t="s">
        <v>114</v>
      </c>
      <c r="B5" s="27">
        <v>6</v>
      </c>
      <c r="C5" s="27">
        <v>15.58</v>
      </c>
      <c r="D5" s="27">
        <v>11.17</v>
      </c>
      <c r="E5" s="30">
        <v>4.41</v>
      </c>
      <c r="F5" s="27">
        <v>72.099999999999994</v>
      </c>
      <c r="G5" s="27">
        <v>254924</v>
      </c>
      <c r="H5" s="27">
        <v>7.7</v>
      </c>
      <c r="I5" s="27">
        <v>74.349999999999994</v>
      </c>
      <c r="J5" s="27">
        <v>4</v>
      </c>
    </row>
    <row r="6" spans="1:12" ht="18" customHeight="1" x14ac:dyDescent="0.3">
      <c r="A6" s="24" t="s">
        <v>64</v>
      </c>
      <c r="B6" s="24">
        <v>9</v>
      </c>
      <c r="C6" s="24">
        <v>13.1</v>
      </c>
      <c r="D6" s="24">
        <v>8.89</v>
      </c>
      <c r="E6" s="30">
        <v>4.21</v>
      </c>
      <c r="F6" s="24">
        <v>71.72</v>
      </c>
      <c r="G6" s="24">
        <v>320496</v>
      </c>
      <c r="H6" s="24">
        <v>9.57</v>
      </c>
      <c r="I6" s="24">
        <v>70.91</v>
      </c>
      <c r="J6" s="24">
        <v>7</v>
      </c>
    </row>
    <row r="7" spans="1:12" ht="18" customHeight="1" x14ac:dyDescent="0.3">
      <c r="A7" s="27" t="s">
        <v>79</v>
      </c>
      <c r="B7" s="27">
        <v>10</v>
      </c>
      <c r="C7" s="27">
        <v>14.6</v>
      </c>
      <c r="D7" s="27">
        <v>11.1</v>
      </c>
      <c r="E7" s="30">
        <v>3.5</v>
      </c>
      <c r="F7" s="27">
        <v>77.2</v>
      </c>
      <c r="G7" s="27">
        <v>393207</v>
      </c>
      <c r="H7" s="27">
        <v>8.84</v>
      </c>
      <c r="I7" s="27">
        <v>82.38</v>
      </c>
      <c r="J7" s="27">
        <v>7</v>
      </c>
    </row>
    <row r="8" spans="1:12" ht="18" customHeight="1" x14ac:dyDescent="0.3">
      <c r="A8" s="24" t="s">
        <v>27</v>
      </c>
      <c r="B8" s="24">
        <v>12</v>
      </c>
      <c r="C8" s="24">
        <v>13.15</v>
      </c>
      <c r="D8" s="24">
        <v>8.75</v>
      </c>
      <c r="E8" s="30">
        <v>4.4000000000000004</v>
      </c>
      <c r="F8" s="24">
        <v>69.5</v>
      </c>
      <c r="G8" s="24">
        <v>530222</v>
      </c>
      <c r="H8" s="24">
        <v>7.32</v>
      </c>
      <c r="I8" s="24">
        <v>76.28</v>
      </c>
      <c r="J8" s="24">
        <v>6</v>
      </c>
    </row>
    <row r="9" spans="1:12" ht="18" customHeight="1" x14ac:dyDescent="0.3">
      <c r="A9" s="27" t="s">
        <v>46</v>
      </c>
      <c r="B9" s="27">
        <v>7</v>
      </c>
      <c r="C9" s="27">
        <v>13.33</v>
      </c>
      <c r="D9" s="27">
        <v>8.2899999999999991</v>
      </c>
      <c r="E9" s="30">
        <v>5.04</v>
      </c>
      <c r="F9" s="27">
        <v>66.569999999999993</v>
      </c>
      <c r="G9" s="27">
        <v>283596</v>
      </c>
      <c r="H9" s="27">
        <v>7.63</v>
      </c>
      <c r="I9" s="27">
        <v>87.17</v>
      </c>
      <c r="J9" s="27">
        <v>5</v>
      </c>
    </row>
    <row r="10" spans="1:12" ht="18" customHeight="1" x14ac:dyDescent="0.3">
      <c r="A10" s="24" t="s">
        <v>120</v>
      </c>
      <c r="B10" s="24">
        <v>2</v>
      </c>
      <c r="C10" s="24">
        <v>20.8</v>
      </c>
      <c r="D10" s="24">
        <v>14</v>
      </c>
      <c r="E10" s="30">
        <v>6.8</v>
      </c>
      <c r="F10" s="24">
        <v>73.05</v>
      </c>
      <c r="G10" s="24">
        <v>67020</v>
      </c>
      <c r="H10" s="24">
        <v>6.55</v>
      </c>
      <c r="I10" s="24">
        <v>71.7</v>
      </c>
      <c r="J10" s="24">
        <v>1</v>
      </c>
    </row>
    <row r="11" spans="1:12" ht="18" customHeight="1" x14ac:dyDescent="0.3">
      <c r="A11" s="27" t="s">
        <v>40</v>
      </c>
      <c r="B11" s="27">
        <v>11</v>
      </c>
      <c r="C11" s="27">
        <v>12.42</v>
      </c>
      <c r="D11" s="27">
        <v>7.91</v>
      </c>
      <c r="E11" s="30">
        <v>4.51</v>
      </c>
      <c r="F11" s="27">
        <v>62.52</v>
      </c>
      <c r="G11" s="27">
        <v>478405</v>
      </c>
      <c r="H11" s="27">
        <v>7.56</v>
      </c>
      <c r="I11" s="27">
        <v>70.2</v>
      </c>
      <c r="J11" s="27">
        <v>8</v>
      </c>
    </row>
    <row r="12" spans="1:12" ht="18" customHeight="1" x14ac:dyDescent="0.3">
      <c r="A12" s="24" t="s">
        <v>96</v>
      </c>
      <c r="B12" s="24">
        <v>8</v>
      </c>
      <c r="C12" s="24">
        <v>17.38</v>
      </c>
      <c r="D12" s="24">
        <v>10.119999999999999</v>
      </c>
      <c r="E12" s="30">
        <v>7.26</v>
      </c>
      <c r="F12" s="24">
        <v>59.9</v>
      </c>
      <c r="G12" s="24">
        <v>311804</v>
      </c>
      <c r="H12" s="24">
        <v>5.68</v>
      </c>
      <c r="I12" s="24">
        <v>74.709999999999994</v>
      </c>
      <c r="J12" s="24">
        <v>6</v>
      </c>
    </row>
    <row r="13" spans="1:12" ht="18" customHeight="1" x14ac:dyDescent="0.3">
      <c r="A13" s="27" t="s">
        <v>178</v>
      </c>
      <c r="B13" s="27">
        <v>8</v>
      </c>
      <c r="C13" s="27">
        <v>10.26</v>
      </c>
      <c r="D13" s="27">
        <v>8.6199999999999992</v>
      </c>
      <c r="E13" s="27">
        <v>1.64</v>
      </c>
      <c r="F13" s="27">
        <v>82.85</v>
      </c>
      <c r="G13" s="27">
        <v>246083</v>
      </c>
      <c r="H13" s="27">
        <v>8.5500000000000007</v>
      </c>
      <c r="I13" s="27">
        <v>73.510000000000005</v>
      </c>
      <c r="J13" s="27">
        <v>5</v>
      </c>
    </row>
    <row r="14" spans="1:12" ht="18" customHeight="1" x14ac:dyDescent="0.3">
      <c r="A14" s="24" t="s">
        <v>91</v>
      </c>
      <c r="B14" s="24">
        <v>6</v>
      </c>
      <c r="C14" s="24">
        <v>17.77</v>
      </c>
      <c r="D14" s="24">
        <v>10.67</v>
      </c>
      <c r="E14" s="30">
        <v>7.1</v>
      </c>
      <c r="F14" s="24">
        <v>64.7</v>
      </c>
      <c r="G14" s="24">
        <v>260401</v>
      </c>
      <c r="H14" s="24">
        <v>10.119999999999999</v>
      </c>
      <c r="I14" s="24">
        <v>70.819999999999993</v>
      </c>
      <c r="J14" s="24">
        <v>4</v>
      </c>
    </row>
    <row r="15" spans="1:12" ht="18" customHeight="1" x14ac:dyDescent="0.3">
      <c r="A15" s="27" t="s">
        <v>57</v>
      </c>
      <c r="B15" s="27">
        <v>6</v>
      </c>
      <c r="C15" s="27">
        <v>12.4</v>
      </c>
      <c r="D15" s="27">
        <v>9.5</v>
      </c>
      <c r="E15" s="27">
        <v>2.9</v>
      </c>
      <c r="F15" s="27">
        <v>82.37</v>
      </c>
      <c r="G15" s="27">
        <v>208597</v>
      </c>
      <c r="H15" s="27">
        <v>4.05</v>
      </c>
      <c r="I15" s="27">
        <v>83.33</v>
      </c>
      <c r="J15" s="27">
        <v>2</v>
      </c>
    </row>
    <row r="16" spans="1:12" ht="18" customHeight="1" x14ac:dyDescent="0.3">
      <c r="A16" s="24" t="s">
        <v>129</v>
      </c>
      <c r="B16" s="24">
        <v>8</v>
      </c>
      <c r="C16" s="24">
        <v>16.420000000000002</v>
      </c>
      <c r="D16" s="24">
        <v>11.75</v>
      </c>
      <c r="E16" s="30">
        <v>4.67</v>
      </c>
      <c r="F16" s="24">
        <v>73.44</v>
      </c>
      <c r="G16" s="24">
        <v>370093</v>
      </c>
      <c r="H16" s="24">
        <v>8.2799999999999994</v>
      </c>
      <c r="I16" s="24">
        <v>80.45</v>
      </c>
      <c r="J16" s="24">
        <v>6</v>
      </c>
    </row>
    <row r="17" spans="1:10" ht="18" customHeight="1" x14ac:dyDescent="0.3">
      <c r="A17" s="27" t="s">
        <v>70</v>
      </c>
      <c r="B17" s="27">
        <v>8</v>
      </c>
      <c r="C17" s="27">
        <v>12.78</v>
      </c>
      <c r="D17" s="27">
        <v>9.1199999999999992</v>
      </c>
      <c r="E17" s="30">
        <v>3.66</v>
      </c>
      <c r="F17" s="27">
        <v>74.19</v>
      </c>
      <c r="G17" s="27">
        <v>443563</v>
      </c>
      <c r="H17" s="27">
        <v>8.91</v>
      </c>
      <c r="I17" s="27">
        <v>72.349999999999994</v>
      </c>
      <c r="J17" s="27">
        <v>6</v>
      </c>
    </row>
    <row r="18" spans="1:10" ht="18" customHeight="1" x14ac:dyDescent="0.3">
      <c r="A18" s="24" t="s">
        <v>34</v>
      </c>
      <c r="B18" s="24">
        <v>6</v>
      </c>
      <c r="C18" s="24">
        <v>18.53</v>
      </c>
      <c r="D18" s="24">
        <v>12.33</v>
      </c>
      <c r="E18" s="30">
        <v>6.2</v>
      </c>
      <c r="F18" s="24">
        <v>69.75</v>
      </c>
      <c r="G18" s="24">
        <v>145392</v>
      </c>
      <c r="H18" s="24">
        <v>9.3000000000000007</v>
      </c>
      <c r="I18" s="24">
        <v>81.87</v>
      </c>
      <c r="J18" s="24">
        <v>3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4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28" customWidth="1"/>
    <col min="2" max="2" width="14" customWidth="1"/>
    <col min="3" max="4" width="13" customWidth="1"/>
    <col min="5" max="5" width="8" customWidth="1"/>
    <col min="6" max="6" width="10" customWidth="1"/>
  </cols>
  <sheetData>
    <row r="1" spans="1:11" ht="34.5" customHeight="1" x14ac:dyDescent="0.3">
      <c r="A1" s="3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21.75" customHeight="1" x14ac:dyDescent="0.3">
      <c r="A3" s="23" t="s">
        <v>1</v>
      </c>
      <c r="B3" s="23" t="s">
        <v>2</v>
      </c>
      <c r="C3" s="23" t="s">
        <v>345</v>
      </c>
      <c r="D3" s="23" t="s">
        <v>346</v>
      </c>
      <c r="E3" s="23" t="s">
        <v>347</v>
      </c>
      <c r="F3" s="23" t="s">
        <v>348</v>
      </c>
    </row>
    <row r="4" spans="1:11" ht="15.75" customHeight="1" x14ac:dyDescent="0.3">
      <c r="A4" s="31" t="s">
        <v>27</v>
      </c>
      <c r="B4" s="31" t="s">
        <v>28</v>
      </c>
      <c r="C4" s="31">
        <v>72</v>
      </c>
      <c r="D4" s="31">
        <v>82</v>
      </c>
      <c r="E4" s="31">
        <v>10</v>
      </c>
      <c r="F4" s="32" t="s">
        <v>349</v>
      </c>
    </row>
    <row r="5" spans="1:11" ht="15.75" customHeight="1" x14ac:dyDescent="0.3">
      <c r="A5" s="33" t="s">
        <v>34</v>
      </c>
      <c r="B5" s="33" t="s">
        <v>28</v>
      </c>
      <c r="C5" s="33">
        <v>78</v>
      </c>
      <c r="D5" s="33">
        <v>96</v>
      </c>
      <c r="E5" s="33">
        <v>18</v>
      </c>
      <c r="F5" s="32" t="s">
        <v>349</v>
      </c>
    </row>
    <row r="6" spans="1:11" ht="15.75" customHeight="1" x14ac:dyDescent="0.3">
      <c r="A6" s="31" t="s">
        <v>40</v>
      </c>
      <c r="B6" s="31" t="s">
        <v>41</v>
      </c>
      <c r="C6" s="31">
        <v>89</v>
      </c>
      <c r="D6" s="31">
        <v>61</v>
      </c>
      <c r="E6" s="31">
        <v>-28</v>
      </c>
      <c r="F6" s="34" t="s">
        <v>350</v>
      </c>
    </row>
    <row r="7" spans="1:11" ht="15.75" customHeight="1" x14ac:dyDescent="0.3">
      <c r="A7" s="33" t="s">
        <v>46</v>
      </c>
      <c r="B7" s="33" t="s">
        <v>47</v>
      </c>
      <c r="C7" s="33">
        <v>71</v>
      </c>
      <c r="D7" s="33">
        <v>87</v>
      </c>
      <c r="E7" s="33">
        <v>16</v>
      </c>
      <c r="F7" s="32" t="s">
        <v>349</v>
      </c>
    </row>
    <row r="8" spans="1:11" ht="15.75" customHeight="1" x14ac:dyDescent="0.3">
      <c r="A8" s="31" t="s">
        <v>51</v>
      </c>
      <c r="B8" s="31" t="s">
        <v>28</v>
      </c>
      <c r="C8" s="31">
        <v>78</v>
      </c>
      <c r="D8" s="31">
        <v>89</v>
      </c>
      <c r="E8" s="31">
        <v>11</v>
      </c>
      <c r="F8" s="32" t="s">
        <v>349</v>
      </c>
    </row>
    <row r="9" spans="1:11" ht="15.75" customHeight="1" x14ac:dyDescent="0.3">
      <c r="A9" s="33" t="s">
        <v>57</v>
      </c>
      <c r="B9" s="33" t="s">
        <v>47</v>
      </c>
      <c r="C9" s="33">
        <v>94</v>
      </c>
      <c r="D9" s="33">
        <v>94</v>
      </c>
      <c r="E9" s="33">
        <v>0</v>
      </c>
      <c r="F9" s="32" t="s">
        <v>349</v>
      </c>
    </row>
    <row r="10" spans="1:11" ht="15.75" customHeight="1" x14ac:dyDescent="0.3">
      <c r="A10" s="31" t="s">
        <v>40</v>
      </c>
      <c r="B10" s="31" t="s">
        <v>41</v>
      </c>
      <c r="C10" s="31">
        <v>90</v>
      </c>
      <c r="D10" s="31">
        <v>74</v>
      </c>
      <c r="E10" s="31">
        <v>-16</v>
      </c>
      <c r="F10" s="34" t="s">
        <v>350</v>
      </c>
    </row>
    <row r="11" spans="1:11" ht="15.75" customHeight="1" x14ac:dyDescent="0.3">
      <c r="A11" s="33" t="s">
        <v>64</v>
      </c>
      <c r="B11" s="33" t="s">
        <v>65</v>
      </c>
      <c r="C11" s="33">
        <v>73</v>
      </c>
      <c r="D11" s="33">
        <v>54</v>
      </c>
      <c r="E11" s="33">
        <v>-19</v>
      </c>
      <c r="F11" s="34" t="s">
        <v>350</v>
      </c>
    </row>
    <row r="12" spans="1:11" ht="15.75" customHeight="1" x14ac:dyDescent="0.3">
      <c r="A12" s="31" t="s">
        <v>70</v>
      </c>
      <c r="B12" s="31" t="s">
        <v>71</v>
      </c>
      <c r="C12" s="31">
        <v>91</v>
      </c>
      <c r="D12" s="31">
        <v>79</v>
      </c>
      <c r="E12" s="31">
        <v>-12</v>
      </c>
      <c r="F12" s="34" t="s">
        <v>350</v>
      </c>
    </row>
    <row r="13" spans="1:11" ht="15.75" customHeight="1" x14ac:dyDescent="0.3">
      <c r="A13" s="33" t="s">
        <v>70</v>
      </c>
      <c r="B13" s="33" t="s">
        <v>71</v>
      </c>
      <c r="C13" s="33">
        <v>90</v>
      </c>
      <c r="D13" s="33">
        <v>64</v>
      </c>
      <c r="E13" s="33">
        <v>-26</v>
      </c>
      <c r="F13" s="34" t="s">
        <v>350</v>
      </c>
    </row>
    <row r="14" spans="1:11" ht="15.75" customHeight="1" x14ac:dyDescent="0.3">
      <c r="A14" s="31" t="s">
        <v>79</v>
      </c>
      <c r="B14" s="31" t="s">
        <v>80</v>
      </c>
      <c r="C14" s="31">
        <v>81</v>
      </c>
      <c r="D14" s="31">
        <v>98</v>
      </c>
      <c r="E14" s="31">
        <v>17</v>
      </c>
      <c r="F14" s="32" t="s">
        <v>349</v>
      </c>
    </row>
    <row r="15" spans="1:11" ht="15.75" customHeight="1" x14ac:dyDescent="0.3">
      <c r="A15" s="33" t="s">
        <v>46</v>
      </c>
      <c r="B15" s="33" t="s">
        <v>47</v>
      </c>
      <c r="C15" s="33">
        <v>87</v>
      </c>
      <c r="D15" s="33">
        <v>55</v>
      </c>
      <c r="E15" s="33">
        <v>-32</v>
      </c>
      <c r="F15" s="34" t="s">
        <v>350</v>
      </c>
    </row>
    <row r="16" spans="1:11" ht="15.75" customHeight="1" x14ac:dyDescent="0.3">
      <c r="A16" s="31" t="s">
        <v>46</v>
      </c>
      <c r="B16" s="31" t="s">
        <v>47</v>
      </c>
      <c r="C16" s="31">
        <v>86</v>
      </c>
      <c r="D16" s="31">
        <v>73</v>
      </c>
      <c r="E16" s="31">
        <v>-13</v>
      </c>
      <c r="F16" s="34" t="s">
        <v>350</v>
      </c>
    </row>
    <row r="17" spans="1:6" ht="15.75" customHeight="1" x14ac:dyDescent="0.3">
      <c r="A17" s="33" t="s">
        <v>91</v>
      </c>
      <c r="B17" s="33" t="s">
        <v>71</v>
      </c>
      <c r="C17" s="33">
        <v>71</v>
      </c>
      <c r="D17" s="33">
        <v>100</v>
      </c>
      <c r="E17" s="33">
        <v>29</v>
      </c>
      <c r="F17" s="32" t="s">
        <v>349</v>
      </c>
    </row>
    <row r="18" spans="1:6" ht="15.75" customHeight="1" x14ac:dyDescent="0.3">
      <c r="A18" s="31" t="s">
        <v>27</v>
      </c>
      <c r="B18" s="31" t="s">
        <v>28</v>
      </c>
      <c r="C18" s="31">
        <v>73</v>
      </c>
      <c r="D18" s="31">
        <v>51</v>
      </c>
      <c r="E18" s="31">
        <v>-22</v>
      </c>
      <c r="F18" s="34" t="s">
        <v>350</v>
      </c>
    </row>
    <row r="19" spans="1:6" ht="15.75" customHeight="1" x14ac:dyDescent="0.3">
      <c r="A19" s="33" t="s">
        <v>96</v>
      </c>
      <c r="B19" s="33" t="s">
        <v>71</v>
      </c>
      <c r="C19" s="33">
        <v>77</v>
      </c>
      <c r="D19" s="33">
        <v>57</v>
      </c>
      <c r="E19" s="33">
        <v>-20</v>
      </c>
      <c r="F19" s="34" t="s">
        <v>350</v>
      </c>
    </row>
    <row r="20" spans="1:6" ht="15.75" customHeight="1" x14ac:dyDescent="0.3">
      <c r="A20" s="31" t="s">
        <v>79</v>
      </c>
      <c r="B20" s="31" t="s">
        <v>80</v>
      </c>
      <c r="C20" s="31">
        <v>70</v>
      </c>
      <c r="D20" s="31">
        <v>50</v>
      </c>
      <c r="E20" s="31">
        <v>-20</v>
      </c>
      <c r="F20" s="34" t="s">
        <v>350</v>
      </c>
    </row>
    <row r="21" spans="1:6" ht="15.75" customHeight="1" x14ac:dyDescent="0.3">
      <c r="A21" s="33" t="s">
        <v>96</v>
      </c>
      <c r="B21" s="33" t="s">
        <v>71</v>
      </c>
      <c r="C21" s="33">
        <v>79</v>
      </c>
      <c r="D21" s="33">
        <v>72</v>
      </c>
      <c r="E21" s="33">
        <v>-7</v>
      </c>
      <c r="F21" s="34" t="s">
        <v>350</v>
      </c>
    </row>
    <row r="22" spans="1:6" ht="15.75" customHeight="1" x14ac:dyDescent="0.3">
      <c r="A22" s="31" t="s">
        <v>34</v>
      </c>
      <c r="B22" s="31" t="s">
        <v>28</v>
      </c>
      <c r="C22" s="31">
        <v>85</v>
      </c>
      <c r="D22" s="31">
        <v>77</v>
      </c>
      <c r="E22" s="31">
        <v>-8</v>
      </c>
      <c r="F22" s="34" t="s">
        <v>350</v>
      </c>
    </row>
    <row r="23" spans="1:6" ht="15.75" customHeight="1" x14ac:dyDescent="0.3">
      <c r="A23" s="33" t="s">
        <v>57</v>
      </c>
      <c r="B23" s="33" t="s">
        <v>47</v>
      </c>
      <c r="C23" s="33">
        <v>77</v>
      </c>
      <c r="D23" s="33">
        <v>82</v>
      </c>
      <c r="E23" s="33">
        <v>5</v>
      </c>
      <c r="F23" s="32" t="s">
        <v>349</v>
      </c>
    </row>
    <row r="24" spans="1:6" ht="15.75" customHeight="1" x14ac:dyDescent="0.3">
      <c r="A24" s="31" t="s">
        <v>27</v>
      </c>
      <c r="B24" s="31" t="s">
        <v>28</v>
      </c>
      <c r="C24" s="31">
        <v>74</v>
      </c>
      <c r="D24" s="31">
        <v>87</v>
      </c>
      <c r="E24" s="31">
        <v>13</v>
      </c>
      <c r="F24" s="32" t="s">
        <v>349</v>
      </c>
    </row>
    <row r="25" spans="1:6" ht="15.75" customHeight="1" x14ac:dyDescent="0.3">
      <c r="A25" s="33" t="s">
        <v>91</v>
      </c>
      <c r="B25" s="33" t="s">
        <v>71</v>
      </c>
      <c r="C25" s="33">
        <v>72</v>
      </c>
      <c r="D25" s="33">
        <v>60</v>
      </c>
      <c r="E25" s="33">
        <v>-12</v>
      </c>
      <c r="F25" s="34" t="s">
        <v>350</v>
      </c>
    </row>
    <row r="26" spans="1:6" ht="15.75" customHeight="1" x14ac:dyDescent="0.3">
      <c r="A26" s="31" t="s">
        <v>114</v>
      </c>
      <c r="B26" s="31" t="s">
        <v>115</v>
      </c>
      <c r="C26" s="31">
        <v>78</v>
      </c>
      <c r="D26" s="31">
        <v>52</v>
      </c>
      <c r="E26" s="31">
        <v>-26</v>
      </c>
      <c r="F26" s="34" t="s">
        <v>350</v>
      </c>
    </row>
    <row r="27" spans="1:6" ht="15.75" customHeight="1" x14ac:dyDescent="0.3">
      <c r="A27" s="33" t="s">
        <v>40</v>
      </c>
      <c r="B27" s="33" t="s">
        <v>41</v>
      </c>
      <c r="C27" s="33">
        <v>72</v>
      </c>
      <c r="D27" s="33">
        <v>85</v>
      </c>
      <c r="E27" s="33">
        <v>13</v>
      </c>
      <c r="F27" s="32" t="s">
        <v>349</v>
      </c>
    </row>
    <row r="28" spans="1:6" ht="15.75" customHeight="1" x14ac:dyDescent="0.3">
      <c r="A28" s="31" t="s">
        <v>120</v>
      </c>
      <c r="B28" s="31" t="s">
        <v>47</v>
      </c>
      <c r="C28" s="31">
        <v>72</v>
      </c>
      <c r="D28" s="31">
        <v>89</v>
      </c>
      <c r="E28" s="31">
        <v>17</v>
      </c>
      <c r="F28" s="32" t="s">
        <v>349</v>
      </c>
    </row>
    <row r="29" spans="1:6" ht="15.75" customHeight="1" x14ac:dyDescent="0.3">
      <c r="A29" s="33" t="s">
        <v>114</v>
      </c>
      <c r="B29" s="33" t="s">
        <v>115</v>
      </c>
      <c r="C29" s="33">
        <v>91</v>
      </c>
      <c r="D29" s="33">
        <v>51</v>
      </c>
      <c r="E29" s="33">
        <v>-40</v>
      </c>
      <c r="F29" s="34" t="s">
        <v>350</v>
      </c>
    </row>
    <row r="30" spans="1:6" ht="15.75" customHeight="1" x14ac:dyDescent="0.3">
      <c r="A30" s="31" t="s">
        <v>46</v>
      </c>
      <c r="B30" s="31" t="s">
        <v>47</v>
      </c>
      <c r="C30" s="31">
        <v>95</v>
      </c>
      <c r="D30" s="31">
        <v>71</v>
      </c>
      <c r="E30" s="31">
        <v>-24</v>
      </c>
      <c r="F30" s="34" t="s">
        <v>350</v>
      </c>
    </row>
    <row r="31" spans="1:6" ht="15.75" customHeight="1" x14ac:dyDescent="0.3">
      <c r="A31" s="33" t="s">
        <v>129</v>
      </c>
      <c r="B31" s="33" t="s">
        <v>71</v>
      </c>
      <c r="C31" s="33">
        <v>81</v>
      </c>
      <c r="D31" s="33">
        <v>64</v>
      </c>
      <c r="E31" s="33">
        <v>-17</v>
      </c>
      <c r="F31" s="34" t="s">
        <v>350</v>
      </c>
    </row>
    <row r="32" spans="1:6" ht="15.75" customHeight="1" x14ac:dyDescent="0.3">
      <c r="A32" s="31" t="s">
        <v>27</v>
      </c>
      <c r="B32" s="31" t="s">
        <v>28</v>
      </c>
      <c r="C32" s="31">
        <v>91</v>
      </c>
      <c r="D32" s="31">
        <v>98</v>
      </c>
      <c r="E32" s="31">
        <v>7</v>
      </c>
      <c r="F32" s="32" t="s">
        <v>349</v>
      </c>
    </row>
    <row r="33" spans="1:6" ht="15.75" customHeight="1" x14ac:dyDescent="0.3">
      <c r="A33" s="33" t="s">
        <v>79</v>
      </c>
      <c r="B33" s="33" t="s">
        <v>80</v>
      </c>
      <c r="C33" s="33">
        <v>73</v>
      </c>
      <c r="D33" s="33">
        <v>69</v>
      </c>
      <c r="E33" s="33">
        <v>-4</v>
      </c>
      <c r="F33" s="34" t="s">
        <v>350</v>
      </c>
    </row>
    <row r="34" spans="1:6" ht="15.75" customHeight="1" x14ac:dyDescent="0.3">
      <c r="A34" s="31" t="s">
        <v>64</v>
      </c>
      <c r="B34" s="31" t="s">
        <v>65</v>
      </c>
      <c r="C34" s="31">
        <v>83</v>
      </c>
      <c r="D34" s="31">
        <v>49</v>
      </c>
      <c r="E34" s="31">
        <v>-34</v>
      </c>
      <c r="F34" s="34" t="s">
        <v>350</v>
      </c>
    </row>
    <row r="35" spans="1:6" ht="15.75" customHeight="1" x14ac:dyDescent="0.3">
      <c r="A35" s="33" t="s">
        <v>27</v>
      </c>
      <c r="B35" s="33" t="s">
        <v>28</v>
      </c>
      <c r="C35" s="33">
        <v>87</v>
      </c>
      <c r="D35" s="33">
        <v>53</v>
      </c>
      <c r="E35" s="33">
        <v>-34</v>
      </c>
      <c r="F35" s="34" t="s">
        <v>350</v>
      </c>
    </row>
    <row r="36" spans="1:6" ht="15.75" customHeight="1" x14ac:dyDescent="0.3">
      <c r="A36" s="31" t="s">
        <v>70</v>
      </c>
      <c r="B36" s="31" t="s">
        <v>71</v>
      </c>
      <c r="C36" s="31">
        <v>84</v>
      </c>
      <c r="D36" s="31">
        <v>73</v>
      </c>
      <c r="E36" s="31">
        <v>-11</v>
      </c>
      <c r="F36" s="34" t="s">
        <v>350</v>
      </c>
    </row>
    <row r="37" spans="1:6" ht="15.75" customHeight="1" x14ac:dyDescent="0.3">
      <c r="A37" s="33" t="s">
        <v>27</v>
      </c>
      <c r="B37" s="33" t="s">
        <v>28</v>
      </c>
      <c r="C37" s="33">
        <v>95</v>
      </c>
      <c r="D37" s="33">
        <v>57</v>
      </c>
      <c r="E37" s="33">
        <v>-38</v>
      </c>
      <c r="F37" s="34" t="s">
        <v>350</v>
      </c>
    </row>
    <row r="38" spans="1:6" ht="15.75" customHeight="1" x14ac:dyDescent="0.3">
      <c r="A38" s="31" t="s">
        <v>114</v>
      </c>
      <c r="B38" s="31" t="s">
        <v>115</v>
      </c>
      <c r="C38" s="31">
        <v>77</v>
      </c>
      <c r="D38" s="31">
        <v>54</v>
      </c>
      <c r="E38" s="31">
        <v>-23</v>
      </c>
      <c r="F38" s="34" t="s">
        <v>350</v>
      </c>
    </row>
    <row r="39" spans="1:6" ht="15.75" customHeight="1" x14ac:dyDescent="0.3">
      <c r="A39" s="33" t="s">
        <v>34</v>
      </c>
      <c r="B39" s="33" t="s">
        <v>28</v>
      </c>
      <c r="C39" s="33">
        <v>84</v>
      </c>
      <c r="D39" s="33">
        <v>53</v>
      </c>
      <c r="E39" s="33">
        <v>-31</v>
      </c>
      <c r="F39" s="34" t="s">
        <v>350</v>
      </c>
    </row>
    <row r="40" spans="1:6" ht="15.75" customHeight="1" x14ac:dyDescent="0.3">
      <c r="A40" s="31" t="s">
        <v>129</v>
      </c>
      <c r="B40" s="31" t="s">
        <v>71</v>
      </c>
      <c r="C40" s="31">
        <v>84</v>
      </c>
      <c r="D40" s="31">
        <v>61</v>
      </c>
      <c r="E40" s="31">
        <v>-23</v>
      </c>
      <c r="F40" s="34" t="s">
        <v>350</v>
      </c>
    </row>
    <row r="41" spans="1:6" ht="15.75" customHeight="1" x14ac:dyDescent="0.3">
      <c r="A41" s="33" t="s">
        <v>27</v>
      </c>
      <c r="B41" s="33" t="s">
        <v>28</v>
      </c>
      <c r="C41" s="33">
        <v>74</v>
      </c>
      <c r="D41" s="33">
        <v>54</v>
      </c>
      <c r="E41" s="33">
        <v>-20</v>
      </c>
      <c r="F41" s="34" t="s">
        <v>350</v>
      </c>
    </row>
    <row r="42" spans="1:6" ht="15.75" customHeight="1" x14ac:dyDescent="0.3">
      <c r="A42" s="31" t="s">
        <v>70</v>
      </c>
      <c r="B42" s="31" t="s">
        <v>71</v>
      </c>
      <c r="C42" s="31">
        <v>92</v>
      </c>
      <c r="D42" s="31">
        <v>46</v>
      </c>
      <c r="E42" s="31">
        <v>-46</v>
      </c>
      <c r="F42" s="34" t="s">
        <v>350</v>
      </c>
    </row>
    <row r="43" spans="1:6" ht="15.75" customHeight="1" x14ac:dyDescent="0.3">
      <c r="A43" s="33" t="s">
        <v>91</v>
      </c>
      <c r="B43" s="33" t="s">
        <v>71</v>
      </c>
      <c r="C43" s="33">
        <v>83</v>
      </c>
      <c r="D43" s="33">
        <v>76</v>
      </c>
      <c r="E43" s="33">
        <v>-7</v>
      </c>
      <c r="F43" s="34" t="s">
        <v>350</v>
      </c>
    </row>
    <row r="44" spans="1:6" ht="15.75" customHeight="1" x14ac:dyDescent="0.3">
      <c r="A44" s="31" t="s">
        <v>51</v>
      </c>
      <c r="B44" s="31" t="s">
        <v>28</v>
      </c>
      <c r="C44" s="31">
        <v>72</v>
      </c>
      <c r="D44" s="31">
        <v>86</v>
      </c>
      <c r="E44" s="31">
        <v>14</v>
      </c>
      <c r="F44" s="32" t="s">
        <v>349</v>
      </c>
    </row>
    <row r="45" spans="1:6" ht="15.75" customHeight="1" x14ac:dyDescent="0.3">
      <c r="A45" s="33" t="s">
        <v>40</v>
      </c>
      <c r="B45" s="33" t="s">
        <v>41</v>
      </c>
      <c r="C45" s="33">
        <v>78</v>
      </c>
      <c r="D45" s="33">
        <v>98</v>
      </c>
      <c r="E45" s="33">
        <v>20</v>
      </c>
      <c r="F45" s="32" t="s">
        <v>349</v>
      </c>
    </row>
    <row r="46" spans="1:6" ht="15.75" customHeight="1" x14ac:dyDescent="0.3">
      <c r="A46" s="31" t="s">
        <v>120</v>
      </c>
      <c r="B46" s="31" t="s">
        <v>47</v>
      </c>
      <c r="C46" s="31">
        <v>89</v>
      </c>
      <c r="D46" s="31">
        <v>54</v>
      </c>
      <c r="E46" s="31">
        <v>-35</v>
      </c>
      <c r="F46" s="34" t="s">
        <v>350</v>
      </c>
    </row>
    <row r="47" spans="1:6" ht="15.75" customHeight="1" x14ac:dyDescent="0.3">
      <c r="A47" s="33" t="s">
        <v>96</v>
      </c>
      <c r="B47" s="33" t="s">
        <v>71</v>
      </c>
      <c r="C47" s="33">
        <v>88</v>
      </c>
      <c r="D47" s="33">
        <v>46</v>
      </c>
      <c r="E47" s="33">
        <v>-42</v>
      </c>
      <c r="F47" s="34" t="s">
        <v>350</v>
      </c>
    </row>
    <row r="48" spans="1:6" ht="15.75" customHeight="1" x14ac:dyDescent="0.3">
      <c r="A48" s="31" t="s">
        <v>64</v>
      </c>
      <c r="B48" s="31" t="s">
        <v>65</v>
      </c>
      <c r="C48" s="31">
        <v>95</v>
      </c>
      <c r="D48" s="31">
        <v>52</v>
      </c>
      <c r="E48" s="31">
        <v>-43</v>
      </c>
      <c r="F48" s="34" t="s">
        <v>350</v>
      </c>
    </row>
    <row r="49" spans="1:6" ht="15.75" customHeight="1" x14ac:dyDescent="0.3">
      <c r="A49" s="33" t="s">
        <v>57</v>
      </c>
      <c r="B49" s="33" t="s">
        <v>47</v>
      </c>
      <c r="C49" s="33">
        <v>83</v>
      </c>
      <c r="D49" s="33">
        <v>68</v>
      </c>
      <c r="E49" s="33">
        <v>-15</v>
      </c>
      <c r="F49" s="34" t="s">
        <v>350</v>
      </c>
    </row>
    <row r="50" spans="1:6" ht="15.75" customHeight="1" x14ac:dyDescent="0.3">
      <c r="A50" s="31" t="s">
        <v>79</v>
      </c>
      <c r="B50" s="31" t="s">
        <v>80</v>
      </c>
      <c r="C50" s="31">
        <v>78</v>
      </c>
      <c r="D50" s="31">
        <v>65</v>
      </c>
      <c r="E50" s="31">
        <v>-13</v>
      </c>
      <c r="F50" s="34" t="s">
        <v>350</v>
      </c>
    </row>
    <row r="51" spans="1:6" ht="15.75" customHeight="1" x14ac:dyDescent="0.3">
      <c r="A51" s="33" t="s">
        <v>34</v>
      </c>
      <c r="B51" s="33" t="s">
        <v>28</v>
      </c>
      <c r="C51" s="33">
        <v>81</v>
      </c>
      <c r="D51" s="33">
        <v>96</v>
      </c>
      <c r="E51" s="33">
        <v>15</v>
      </c>
      <c r="F51" s="32" t="s">
        <v>349</v>
      </c>
    </row>
    <row r="52" spans="1:6" ht="15.75" customHeight="1" x14ac:dyDescent="0.3">
      <c r="A52" s="31" t="s">
        <v>57</v>
      </c>
      <c r="B52" s="31" t="s">
        <v>47</v>
      </c>
      <c r="C52" s="31">
        <v>92</v>
      </c>
      <c r="D52" s="31">
        <v>75</v>
      </c>
      <c r="E52" s="31">
        <v>-17</v>
      </c>
      <c r="F52" s="34" t="s">
        <v>350</v>
      </c>
    </row>
    <row r="53" spans="1:6" ht="15.75" customHeight="1" x14ac:dyDescent="0.3">
      <c r="A53" s="33" t="s">
        <v>178</v>
      </c>
      <c r="B53" s="33" t="s">
        <v>28</v>
      </c>
      <c r="C53" s="33">
        <v>81</v>
      </c>
      <c r="D53" s="33">
        <v>72</v>
      </c>
      <c r="E53" s="33">
        <v>-9</v>
      </c>
      <c r="F53" s="34" t="s">
        <v>350</v>
      </c>
    </row>
    <row r="54" spans="1:6" ht="15.75" customHeight="1" x14ac:dyDescent="0.3">
      <c r="A54" s="31" t="s">
        <v>64</v>
      </c>
      <c r="B54" s="31" t="s">
        <v>65</v>
      </c>
      <c r="C54" s="31">
        <v>94</v>
      </c>
      <c r="D54" s="31">
        <v>89</v>
      </c>
      <c r="E54" s="31">
        <v>-5</v>
      </c>
      <c r="F54" s="34" t="s">
        <v>350</v>
      </c>
    </row>
    <row r="55" spans="1:6" ht="15.75" customHeight="1" x14ac:dyDescent="0.3">
      <c r="A55" s="33" t="s">
        <v>64</v>
      </c>
      <c r="B55" s="33" t="s">
        <v>65</v>
      </c>
      <c r="C55" s="33">
        <v>75</v>
      </c>
      <c r="D55" s="33">
        <v>64</v>
      </c>
      <c r="E55" s="33">
        <v>-11</v>
      </c>
      <c r="F55" s="34" t="s">
        <v>350</v>
      </c>
    </row>
    <row r="56" spans="1:6" ht="15.75" customHeight="1" x14ac:dyDescent="0.3">
      <c r="A56" s="31" t="s">
        <v>91</v>
      </c>
      <c r="B56" s="31" t="s">
        <v>71</v>
      </c>
      <c r="C56" s="31">
        <v>79</v>
      </c>
      <c r="D56" s="31">
        <v>75</v>
      </c>
      <c r="E56" s="31">
        <v>-4</v>
      </c>
      <c r="F56" s="34" t="s">
        <v>350</v>
      </c>
    </row>
    <row r="57" spans="1:6" ht="15.75" customHeight="1" x14ac:dyDescent="0.3">
      <c r="A57" s="33" t="s">
        <v>40</v>
      </c>
      <c r="B57" s="33" t="s">
        <v>41</v>
      </c>
      <c r="C57" s="33">
        <v>79</v>
      </c>
      <c r="D57" s="33">
        <v>50</v>
      </c>
      <c r="E57" s="33">
        <v>-29</v>
      </c>
      <c r="F57" s="34" t="s">
        <v>350</v>
      </c>
    </row>
    <row r="58" spans="1:6" ht="15.75" customHeight="1" x14ac:dyDescent="0.3">
      <c r="A58" s="31" t="s">
        <v>114</v>
      </c>
      <c r="B58" s="31" t="s">
        <v>115</v>
      </c>
      <c r="C58" s="31">
        <v>79</v>
      </c>
      <c r="D58" s="31">
        <v>81</v>
      </c>
      <c r="E58" s="31">
        <v>2</v>
      </c>
      <c r="F58" s="32" t="s">
        <v>349</v>
      </c>
    </row>
    <row r="59" spans="1:6" ht="15.75" customHeight="1" x14ac:dyDescent="0.3">
      <c r="A59" s="33" t="s">
        <v>27</v>
      </c>
      <c r="B59" s="33" t="s">
        <v>28</v>
      </c>
      <c r="C59" s="33">
        <v>84</v>
      </c>
      <c r="D59" s="33">
        <v>89</v>
      </c>
      <c r="E59" s="33">
        <v>5</v>
      </c>
      <c r="F59" s="32" t="s">
        <v>349</v>
      </c>
    </row>
    <row r="60" spans="1:6" ht="15.75" customHeight="1" x14ac:dyDescent="0.3">
      <c r="A60" s="31" t="s">
        <v>40</v>
      </c>
      <c r="B60" s="31" t="s">
        <v>41</v>
      </c>
      <c r="C60" s="31">
        <v>88</v>
      </c>
      <c r="D60" s="31">
        <v>87</v>
      </c>
      <c r="E60" s="31">
        <v>-1</v>
      </c>
      <c r="F60" s="34" t="s">
        <v>350</v>
      </c>
    </row>
    <row r="61" spans="1:6" ht="15.75" customHeight="1" x14ac:dyDescent="0.3">
      <c r="A61" s="33" t="s">
        <v>57</v>
      </c>
      <c r="B61" s="33" t="s">
        <v>47</v>
      </c>
      <c r="C61" s="33">
        <v>89</v>
      </c>
      <c r="D61" s="33">
        <v>92</v>
      </c>
      <c r="E61" s="33">
        <v>3</v>
      </c>
      <c r="F61" s="32" t="s">
        <v>349</v>
      </c>
    </row>
    <row r="62" spans="1:6" ht="15.75" customHeight="1" x14ac:dyDescent="0.3">
      <c r="A62" s="31" t="s">
        <v>96</v>
      </c>
      <c r="B62" s="31" t="s">
        <v>71</v>
      </c>
      <c r="C62" s="31">
        <v>83</v>
      </c>
      <c r="D62" s="31">
        <v>92</v>
      </c>
      <c r="E62" s="31">
        <v>9</v>
      </c>
      <c r="F62" s="32" t="s">
        <v>349</v>
      </c>
    </row>
    <row r="63" spans="1:6" ht="15.75" customHeight="1" x14ac:dyDescent="0.3">
      <c r="A63" s="33" t="s">
        <v>34</v>
      </c>
      <c r="B63" s="33" t="s">
        <v>28</v>
      </c>
      <c r="C63" s="33">
        <v>85</v>
      </c>
      <c r="D63" s="33">
        <v>78</v>
      </c>
      <c r="E63" s="33">
        <v>-7</v>
      </c>
      <c r="F63" s="34" t="s">
        <v>350</v>
      </c>
    </row>
    <row r="64" spans="1:6" ht="15.75" customHeight="1" x14ac:dyDescent="0.3">
      <c r="A64" s="31" t="s">
        <v>27</v>
      </c>
      <c r="B64" s="31" t="s">
        <v>28</v>
      </c>
      <c r="C64" s="31">
        <v>79</v>
      </c>
      <c r="D64" s="31">
        <v>87</v>
      </c>
      <c r="E64" s="31">
        <v>8</v>
      </c>
      <c r="F64" s="32" t="s">
        <v>349</v>
      </c>
    </row>
    <row r="65" spans="1:6" ht="15.75" customHeight="1" x14ac:dyDescent="0.3">
      <c r="A65" s="33" t="s">
        <v>178</v>
      </c>
      <c r="B65" s="33" t="s">
        <v>28</v>
      </c>
      <c r="C65" s="33">
        <v>86</v>
      </c>
      <c r="D65" s="33">
        <v>68</v>
      </c>
      <c r="E65" s="33">
        <v>-18</v>
      </c>
      <c r="F65" s="34" t="s">
        <v>350</v>
      </c>
    </row>
    <row r="66" spans="1:6" ht="15.75" customHeight="1" x14ac:dyDescent="0.3">
      <c r="A66" s="31" t="s">
        <v>34</v>
      </c>
      <c r="B66" s="31" t="s">
        <v>28</v>
      </c>
      <c r="C66" s="31">
        <v>89</v>
      </c>
      <c r="D66" s="31">
        <v>96</v>
      </c>
      <c r="E66" s="31">
        <v>7</v>
      </c>
      <c r="F66" s="32" t="s">
        <v>349</v>
      </c>
    </row>
    <row r="67" spans="1:6" ht="15.75" customHeight="1" x14ac:dyDescent="0.3">
      <c r="A67" s="33" t="s">
        <v>57</v>
      </c>
      <c r="B67" s="33" t="s">
        <v>47</v>
      </c>
      <c r="C67" s="33">
        <v>86</v>
      </c>
      <c r="D67" s="33">
        <v>90</v>
      </c>
      <c r="E67" s="33">
        <v>4</v>
      </c>
      <c r="F67" s="32" t="s">
        <v>349</v>
      </c>
    </row>
    <row r="68" spans="1:6" ht="15.75" customHeight="1" x14ac:dyDescent="0.3">
      <c r="A68" s="31" t="s">
        <v>96</v>
      </c>
      <c r="B68" s="31" t="s">
        <v>71</v>
      </c>
      <c r="C68" s="31">
        <v>80</v>
      </c>
      <c r="D68" s="31">
        <v>95</v>
      </c>
      <c r="E68" s="31">
        <v>15</v>
      </c>
      <c r="F68" s="32" t="s">
        <v>349</v>
      </c>
    </row>
    <row r="69" spans="1:6" ht="15.75" customHeight="1" x14ac:dyDescent="0.3">
      <c r="A69" s="33" t="s">
        <v>51</v>
      </c>
      <c r="B69" s="33" t="s">
        <v>28</v>
      </c>
      <c r="C69" s="33">
        <v>87</v>
      </c>
      <c r="D69" s="33">
        <v>93</v>
      </c>
      <c r="E69" s="33">
        <v>6</v>
      </c>
      <c r="F69" s="32" t="s">
        <v>349</v>
      </c>
    </row>
    <row r="70" spans="1:6" ht="15.75" customHeight="1" x14ac:dyDescent="0.3">
      <c r="A70" s="31" t="s">
        <v>64</v>
      </c>
      <c r="B70" s="31" t="s">
        <v>65</v>
      </c>
      <c r="C70" s="31">
        <v>95</v>
      </c>
      <c r="D70" s="31">
        <v>97</v>
      </c>
      <c r="E70" s="31">
        <v>2</v>
      </c>
      <c r="F70" s="32" t="s">
        <v>349</v>
      </c>
    </row>
    <row r="71" spans="1:6" ht="15.75" customHeight="1" x14ac:dyDescent="0.3">
      <c r="A71" s="33" t="s">
        <v>79</v>
      </c>
      <c r="B71" s="33" t="s">
        <v>80</v>
      </c>
      <c r="C71" s="33">
        <v>70</v>
      </c>
      <c r="D71" s="33">
        <v>91</v>
      </c>
      <c r="E71" s="33">
        <v>21</v>
      </c>
      <c r="F71" s="32" t="s">
        <v>349</v>
      </c>
    </row>
    <row r="72" spans="1:6" ht="15.75" customHeight="1" x14ac:dyDescent="0.3">
      <c r="A72" s="31" t="s">
        <v>129</v>
      </c>
      <c r="B72" s="31" t="s">
        <v>71</v>
      </c>
      <c r="C72" s="31">
        <v>80</v>
      </c>
      <c r="D72" s="31">
        <v>85</v>
      </c>
      <c r="E72" s="31">
        <v>5</v>
      </c>
      <c r="F72" s="32" t="s">
        <v>349</v>
      </c>
    </row>
    <row r="73" spans="1:6" ht="15.75" customHeight="1" x14ac:dyDescent="0.3">
      <c r="A73" s="33" t="s">
        <v>114</v>
      </c>
      <c r="B73" s="33" t="s">
        <v>115</v>
      </c>
      <c r="C73" s="33">
        <v>94</v>
      </c>
      <c r="D73" s="33">
        <v>85</v>
      </c>
      <c r="E73" s="33">
        <v>-9</v>
      </c>
      <c r="F73" s="34" t="s">
        <v>350</v>
      </c>
    </row>
    <row r="74" spans="1:6" ht="15.75" customHeight="1" x14ac:dyDescent="0.3">
      <c r="A74" s="31" t="s">
        <v>64</v>
      </c>
      <c r="B74" s="31" t="s">
        <v>65</v>
      </c>
      <c r="C74" s="31">
        <v>83</v>
      </c>
      <c r="D74" s="31">
        <v>81</v>
      </c>
      <c r="E74" s="31">
        <v>-2</v>
      </c>
      <c r="F74" s="34" t="s">
        <v>350</v>
      </c>
    </row>
    <row r="75" spans="1:6" ht="15.75" customHeight="1" x14ac:dyDescent="0.3">
      <c r="A75" s="33" t="s">
        <v>178</v>
      </c>
      <c r="B75" s="33" t="s">
        <v>28</v>
      </c>
      <c r="C75" s="33">
        <v>78</v>
      </c>
      <c r="D75" s="33">
        <v>74</v>
      </c>
      <c r="E75" s="33">
        <v>-4</v>
      </c>
      <c r="F75" s="34" t="s">
        <v>350</v>
      </c>
    </row>
    <row r="76" spans="1:6" ht="15.75" customHeight="1" x14ac:dyDescent="0.3">
      <c r="A76" s="31" t="s">
        <v>27</v>
      </c>
      <c r="B76" s="31" t="s">
        <v>28</v>
      </c>
      <c r="C76" s="31">
        <v>79</v>
      </c>
      <c r="D76" s="31">
        <v>57</v>
      </c>
      <c r="E76" s="31">
        <v>-22</v>
      </c>
      <c r="F76" s="34" t="s">
        <v>350</v>
      </c>
    </row>
    <row r="77" spans="1:6" ht="15.75" customHeight="1" x14ac:dyDescent="0.3">
      <c r="A77" s="33" t="s">
        <v>70</v>
      </c>
      <c r="B77" s="33" t="s">
        <v>71</v>
      </c>
      <c r="C77" s="33">
        <v>88</v>
      </c>
      <c r="D77" s="33">
        <v>100</v>
      </c>
      <c r="E77" s="33">
        <v>12</v>
      </c>
      <c r="F77" s="32" t="s">
        <v>349</v>
      </c>
    </row>
    <row r="78" spans="1:6" ht="15.75" customHeight="1" x14ac:dyDescent="0.3">
      <c r="A78" s="31" t="s">
        <v>51</v>
      </c>
      <c r="B78" s="31" t="s">
        <v>28</v>
      </c>
      <c r="C78" s="31">
        <v>94</v>
      </c>
      <c r="D78" s="31">
        <v>91</v>
      </c>
      <c r="E78" s="31">
        <v>-3</v>
      </c>
      <c r="F78" s="34" t="s">
        <v>350</v>
      </c>
    </row>
    <row r="79" spans="1:6" ht="15.75" customHeight="1" x14ac:dyDescent="0.3">
      <c r="A79" s="33" t="s">
        <v>40</v>
      </c>
      <c r="B79" s="33" t="s">
        <v>41</v>
      </c>
      <c r="C79" s="33">
        <v>76</v>
      </c>
      <c r="D79" s="33">
        <v>53</v>
      </c>
      <c r="E79" s="33">
        <v>-23</v>
      </c>
      <c r="F79" s="34" t="s">
        <v>350</v>
      </c>
    </row>
    <row r="80" spans="1:6" ht="15.75" customHeight="1" x14ac:dyDescent="0.3">
      <c r="A80" s="31" t="s">
        <v>51</v>
      </c>
      <c r="B80" s="31" t="s">
        <v>28</v>
      </c>
      <c r="C80" s="31">
        <v>72</v>
      </c>
      <c r="D80" s="31">
        <v>54</v>
      </c>
      <c r="E80" s="31">
        <v>-18</v>
      </c>
      <c r="F80" s="34" t="s">
        <v>350</v>
      </c>
    </row>
    <row r="81" spans="1:6" ht="15.75" customHeight="1" x14ac:dyDescent="0.3">
      <c r="A81" s="33" t="s">
        <v>178</v>
      </c>
      <c r="B81" s="33" t="s">
        <v>28</v>
      </c>
      <c r="C81" s="33">
        <v>81</v>
      </c>
      <c r="D81" s="33">
        <v>51</v>
      </c>
      <c r="E81" s="33">
        <v>-30</v>
      </c>
      <c r="F81" s="34" t="s">
        <v>350</v>
      </c>
    </row>
    <row r="82" spans="1:6" ht="15.75" customHeight="1" x14ac:dyDescent="0.3">
      <c r="A82" s="31" t="s">
        <v>46</v>
      </c>
      <c r="B82" s="31" t="s">
        <v>47</v>
      </c>
      <c r="C82" s="31">
        <v>74</v>
      </c>
      <c r="D82" s="31">
        <v>47</v>
      </c>
      <c r="E82" s="31">
        <v>-27</v>
      </c>
      <c r="F82" s="34" t="s">
        <v>350</v>
      </c>
    </row>
    <row r="83" spans="1:6" ht="15.75" customHeight="1" x14ac:dyDescent="0.3">
      <c r="A83" s="33" t="s">
        <v>178</v>
      </c>
      <c r="B83" s="33" t="s">
        <v>28</v>
      </c>
      <c r="C83" s="33">
        <v>83</v>
      </c>
      <c r="D83" s="33">
        <v>86</v>
      </c>
      <c r="E83" s="33">
        <v>3</v>
      </c>
      <c r="F83" s="32" t="s">
        <v>349</v>
      </c>
    </row>
    <row r="84" spans="1:6" ht="15.75" customHeight="1" x14ac:dyDescent="0.3">
      <c r="A84" s="31" t="s">
        <v>40</v>
      </c>
      <c r="B84" s="31" t="s">
        <v>41</v>
      </c>
      <c r="C84" s="31">
        <v>81</v>
      </c>
      <c r="D84" s="31">
        <v>79</v>
      </c>
      <c r="E84" s="31">
        <v>-2</v>
      </c>
      <c r="F84" s="34" t="s">
        <v>350</v>
      </c>
    </row>
    <row r="85" spans="1:6" ht="15.75" customHeight="1" x14ac:dyDescent="0.3">
      <c r="A85" s="33" t="s">
        <v>40</v>
      </c>
      <c r="B85" s="33" t="s">
        <v>41</v>
      </c>
      <c r="C85" s="33">
        <v>71</v>
      </c>
      <c r="D85" s="33">
        <v>95</v>
      </c>
      <c r="E85" s="33">
        <v>24</v>
      </c>
      <c r="F85" s="32" t="s">
        <v>349</v>
      </c>
    </row>
    <row r="86" spans="1:6" ht="15.75" customHeight="1" x14ac:dyDescent="0.3">
      <c r="A86" s="31" t="s">
        <v>178</v>
      </c>
      <c r="B86" s="31" t="s">
        <v>28</v>
      </c>
      <c r="C86" s="31">
        <v>74</v>
      </c>
      <c r="D86" s="31">
        <v>79</v>
      </c>
      <c r="E86" s="31">
        <v>5</v>
      </c>
      <c r="F86" s="32" t="s">
        <v>349</v>
      </c>
    </row>
    <row r="87" spans="1:6" ht="15.75" customHeight="1" x14ac:dyDescent="0.3">
      <c r="A87" s="33" t="s">
        <v>79</v>
      </c>
      <c r="B87" s="33" t="s">
        <v>80</v>
      </c>
      <c r="C87" s="33">
        <v>93</v>
      </c>
      <c r="D87" s="33">
        <v>71</v>
      </c>
      <c r="E87" s="33">
        <v>-22</v>
      </c>
      <c r="F87" s="34" t="s">
        <v>350</v>
      </c>
    </row>
    <row r="88" spans="1:6" ht="15.75" customHeight="1" x14ac:dyDescent="0.3">
      <c r="A88" s="31" t="s">
        <v>129</v>
      </c>
      <c r="B88" s="31" t="s">
        <v>71</v>
      </c>
      <c r="C88" s="31">
        <v>86</v>
      </c>
      <c r="D88" s="31">
        <v>64</v>
      </c>
      <c r="E88" s="31">
        <v>-22</v>
      </c>
      <c r="F88" s="34" t="s">
        <v>350</v>
      </c>
    </row>
    <row r="89" spans="1:6" ht="15.75" customHeight="1" x14ac:dyDescent="0.3">
      <c r="A89" s="33" t="s">
        <v>51</v>
      </c>
      <c r="B89" s="33" t="s">
        <v>28</v>
      </c>
      <c r="C89" s="33">
        <v>89</v>
      </c>
      <c r="D89" s="33">
        <v>54</v>
      </c>
      <c r="E89" s="33">
        <v>-35</v>
      </c>
      <c r="F89" s="34" t="s">
        <v>350</v>
      </c>
    </row>
    <row r="90" spans="1:6" ht="15.75" customHeight="1" x14ac:dyDescent="0.3">
      <c r="A90" s="31" t="s">
        <v>70</v>
      </c>
      <c r="B90" s="31" t="s">
        <v>71</v>
      </c>
      <c r="C90" s="31">
        <v>94</v>
      </c>
      <c r="D90" s="31">
        <v>80</v>
      </c>
      <c r="E90" s="31">
        <v>-14</v>
      </c>
      <c r="F90" s="34" t="s">
        <v>350</v>
      </c>
    </row>
    <row r="91" spans="1:6" ht="15.75" customHeight="1" x14ac:dyDescent="0.3">
      <c r="A91" s="33" t="s">
        <v>46</v>
      </c>
      <c r="B91" s="33" t="s">
        <v>47</v>
      </c>
      <c r="C91" s="33">
        <v>78</v>
      </c>
      <c r="D91" s="33">
        <v>68</v>
      </c>
      <c r="E91" s="33">
        <v>-10</v>
      </c>
      <c r="F91" s="34" t="s">
        <v>350</v>
      </c>
    </row>
    <row r="92" spans="1:6" ht="15.75" customHeight="1" x14ac:dyDescent="0.3">
      <c r="A92" s="31" t="s">
        <v>51</v>
      </c>
      <c r="B92" s="31" t="s">
        <v>28</v>
      </c>
      <c r="C92" s="31">
        <v>87</v>
      </c>
      <c r="D92" s="31">
        <v>66</v>
      </c>
      <c r="E92" s="31">
        <v>-21</v>
      </c>
      <c r="F92" s="34" t="s">
        <v>350</v>
      </c>
    </row>
    <row r="93" spans="1:6" ht="15.75" customHeight="1" x14ac:dyDescent="0.3">
      <c r="A93" s="33" t="s">
        <v>51</v>
      </c>
      <c r="B93" s="33" t="s">
        <v>28</v>
      </c>
      <c r="C93" s="33">
        <v>77</v>
      </c>
      <c r="D93" s="33">
        <v>99</v>
      </c>
      <c r="E93" s="33">
        <v>22</v>
      </c>
      <c r="F93" s="32" t="s">
        <v>349</v>
      </c>
    </row>
    <row r="94" spans="1:6" ht="15.75" customHeight="1" x14ac:dyDescent="0.3">
      <c r="A94" s="31" t="s">
        <v>129</v>
      </c>
      <c r="B94" s="31" t="s">
        <v>71</v>
      </c>
      <c r="C94" s="31">
        <v>70</v>
      </c>
      <c r="D94" s="31">
        <v>83</v>
      </c>
      <c r="E94" s="31">
        <v>13</v>
      </c>
      <c r="F94" s="32" t="s">
        <v>349</v>
      </c>
    </row>
    <row r="95" spans="1:6" ht="15.75" customHeight="1" x14ac:dyDescent="0.3">
      <c r="A95" s="33" t="s">
        <v>40</v>
      </c>
      <c r="B95" s="33" t="s">
        <v>41</v>
      </c>
      <c r="C95" s="33">
        <v>72</v>
      </c>
      <c r="D95" s="33">
        <v>54</v>
      </c>
      <c r="E95" s="33">
        <v>-18</v>
      </c>
      <c r="F95" s="34" t="s">
        <v>350</v>
      </c>
    </row>
    <row r="96" spans="1:6" ht="15.75" customHeight="1" x14ac:dyDescent="0.3">
      <c r="A96" s="31" t="s">
        <v>70</v>
      </c>
      <c r="B96" s="31" t="s">
        <v>71</v>
      </c>
      <c r="C96" s="31">
        <v>74</v>
      </c>
      <c r="D96" s="31">
        <v>55</v>
      </c>
      <c r="E96" s="31">
        <v>-19</v>
      </c>
      <c r="F96" s="34" t="s">
        <v>350</v>
      </c>
    </row>
    <row r="97" spans="1:6" ht="15.75" customHeight="1" x14ac:dyDescent="0.3">
      <c r="A97" s="33" t="s">
        <v>96</v>
      </c>
      <c r="B97" s="33" t="s">
        <v>71</v>
      </c>
      <c r="C97" s="33">
        <v>83</v>
      </c>
      <c r="D97" s="33">
        <v>52</v>
      </c>
      <c r="E97" s="33">
        <v>-31</v>
      </c>
      <c r="F97" s="34" t="s">
        <v>350</v>
      </c>
    </row>
    <row r="98" spans="1:6" ht="15.75" customHeight="1" x14ac:dyDescent="0.3">
      <c r="A98" s="31" t="s">
        <v>91</v>
      </c>
      <c r="B98" s="31" t="s">
        <v>71</v>
      </c>
      <c r="C98" s="31">
        <v>79</v>
      </c>
      <c r="D98" s="31">
        <v>65</v>
      </c>
      <c r="E98" s="31">
        <v>-14</v>
      </c>
      <c r="F98" s="34" t="s">
        <v>350</v>
      </c>
    </row>
    <row r="99" spans="1:6" ht="15.75" customHeight="1" x14ac:dyDescent="0.3">
      <c r="A99" s="33" t="s">
        <v>79</v>
      </c>
      <c r="B99" s="33" t="s">
        <v>80</v>
      </c>
      <c r="C99" s="33">
        <v>83</v>
      </c>
      <c r="D99" s="33">
        <v>46</v>
      </c>
      <c r="E99" s="33">
        <v>-37</v>
      </c>
      <c r="F99" s="34" t="s">
        <v>350</v>
      </c>
    </row>
    <row r="100" spans="1:6" ht="15.75" customHeight="1" x14ac:dyDescent="0.3">
      <c r="A100" s="31" t="s">
        <v>114</v>
      </c>
      <c r="B100" s="31" t="s">
        <v>115</v>
      </c>
      <c r="C100" s="31">
        <v>84</v>
      </c>
      <c r="D100" s="31">
        <v>98</v>
      </c>
      <c r="E100" s="31">
        <v>14</v>
      </c>
      <c r="F100" s="32" t="s">
        <v>349</v>
      </c>
    </row>
    <row r="101" spans="1:6" ht="15.75" customHeight="1" x14ac:dyDescent="0.3">
      <c r="A101" s="33" t="s">
        <v>51</v>
      </c>
      <c r="B101" s="33" t="s">
        <v>28</v>
      </c>
      <c r="C101" s="33">
        <v>80</v>
      </c>
      <c r="D101" s="33">
        <v>94</v>
      </c>
      <c r="E101" s="33">
        <v>14</v>
      </c>
      <c r="F101" s="32" t="s">
        <v>349</v>
      </c>
    </row>
    <row r="102" spans="1:6" ht="15.75" customHeight="1" x14ac:dyDescent="0.3">
      <c r="A102" s="31" t="s">
        <v>46</v>
      </c>
      <c r="B102" s="31" t="s">
        <v>47</v>
      </c>
      <c r="C102" s="31">
        <v>75</v>
      </c>
      <c r="D102" s="31">
        <v>83</v>
      </c>
      <c r="E102" s="31">
        <v>8</v>
      </c>
      <c r="F102" s="32" t="s">
        <v>349</v>
      </c>
    </row>
    <row r="103" spans="1:6" ht="15.75" customHeight="1" x14ac:dyDescent="0.3">
      <c r="A103" s="33" t="s">
        <v>96</v>
      </c>
      <c r="B103" s="33" t="s">
        <v>71</v>
      </c>
      <c r="C103" s="33">
        <v>80</v>
      </c>
      <c r="D103" s="33">
        <v>54</v>
      </c>
      <c r="E103" s="33">
        <v>-26</v>
      </c>
      <c r="F103" s="34" t="s">
        <v>350</v>
      </c>
    </row>
    <row r="104" spans="1:6" ht="15.75" customHeight="1" x14ac:dyDescent="0.3">
      <c r="A104" s="31" t="s">
        <v>129</v>
      </c>
      <c r="B104" s="31" t="s">
        <v>71</v>
      </c>
      <c r="C104" s="31">
        <v>79</v>
      </c>
      <c r="D104" s="31">
        <v>49</v>
      </c>
      <c r="E104" s="31">
        <v>-30</v>
      </c>
      <c r="F104" s="34" t="s">
        <v>350</v>
      </c>
    </row>
    <row r="105" spans="1:6" ht="15.75" customHeight="1" x14ac:dyDescent="0.3">
      <c r="A105" s="33" t="s">
        <v>96</v>
      </c>
      <c r="B105" s="33" t="s">
        <v>71</v>
      </c>
      <c r="C105" s="33">
        <v>86</v>
      </c>
      <c r="D105" s="33">
        <v>54</v>
      </c>
      <c r="E105" s="33">
        <v>-32</v>
      </c>
      <c r="F105" s="34" t="s">
        <v>350</v>
      </c>
    </row>
    <row r="106" spans="1:6" ht="15.75" customHeight="1" x14ac:dyDescent="0.3">
      <c r="A106" s="31" t="s">
        <v>64</v>
      </c>
      <c r="B106" s="31" t="s">
        <v>65</v>
      </c>
      <c r="C106" s="31">
        <v>75</v>
      </c>
      <c r="D106" s="31">
        <v>68</v>
      </c>
      <c r="E106" s="31">
        <v>-7</v>
      </c>
      <c r="F106" s="34" t="s">
        <v>350</v>
      </c>
    </row>
    <row r="107" spans="1:6" ht="15.75" customHeight="1" x14ac:dyDescent="0.3">
      <c r="A107" s="33" t="s">
        <v>129</v>
      </c>
      <c r="B107" s="33" t="s">
        <v>71</v>
      </c>
      <c r="C107" s="33">
        <v>82</v>
      </c>
      <c r="D107" s="33">
        <v>63</v>
      </c>
      <c r="E107" s="33">
        <v>-19</v>
      </c>
      <c r="F107" s="34" t="s">
        <v>350</v>
      </c>
    </row>
    <row r="108" spans="1:6" ht="15.75" customHeight="1" x14ac:dyDescent="0.3">
      <c r="A108" s="31" t="s">
        <v>178</v>
      </c>
      <c r="B108" s="31" t="s">
        <v>28</v>
      </c>
      <c r="C108" s="31">
        <v>79</v>
      </c>
      <c r="D108" s="31">
        <v>80</v>
      </c>
      <c r="E108" s="31">
        <v>1</v>
      </c>
      <c r="F108" s="32" t="s">
        <v>349</v>
      </c>
    </row>
    <row r="109" spans="1:6" ht="15.75" customHeight="1" x14ac:dyDescent="0.3">
      <c r="A109" s="33" t="s">
        <v>27</v>
      </c>
      <c r="B109" s="33" t="s">
        <v>28</v>
      </c>
      <c r="C109" s="33">
        <v>76</v>
      </c>
      <c r="D109" s="33">
        <v>59</v>
      </c>
      <c r="E109" s="33">
        <v>-17</v>
      </c>
      <c r="F109" s="34" t="s">
        <v>350</v>
      </c>
    </row>
    <row r="110" spans="1:6" ht="15.75" customHeight="1" x14ac:dyDescent="0.3">
      <c r="A110" s="31" t="s">
        <v>51</v>
      </c>
      <c r="B110" s="31" t="s">
        <v>28</v>
      </c>
      <c r="C110" s="31">
        <v>74</v>
      </c>
      <c r="D110" s="31">
        <v>55</v>
      </c>
      <c r="E110" s="31">
        <v>-19</v>
      </c>
      <c r="F110" s="34" t="s">
        <v>350</v>
      </c>
    </row>
    <row r="111" spans="1:6" ht="15.75" customHeight="1" x14ac:dyDescent="0.3">
      <c r="A111" s="33" t="s">
        <v>91</v>
      </c>
      <c r="B111" s="33" t="s">
        <v>71</v>
      </c>
      <c r="C111" s="33">
        <v>77</v>
      </c>
      <c r="D111" s="33">
        <v>79</v>
      </c>
      <c r="E111" s="33">
        <v>2</v>
      </c>
      <c r="F111" s="32" t="s">
        <v>349</v>
      </c>
    </row>
    <row r="112" spans="1:6" ht="15.75" customHeight="1" x14ac:dyDescent="0.3">
      <c r="A112" s="31" t="s">
        <v>27</v>
      </c>
      <c r="B112" s="31" t="s">
        <v>28</v>
      </c>
      <c r="C112" s="31">
        <v>76</v>
      </c>
      <c r="D112" s="31">
        <v>96</v>
      </c>
      <c r="E112" s="31">
        <v>20</v>
      </c>
      <c r="F112" s="32" t="s">
        <v>349</v>
      </c>
    </row>
    <row r="113" spans="1:6" ht="15.75" customHeight="1" x14ac:dyDescent="0.3">
      <c r="A113" s="33" t="s">
        <v>51</v>
      </c>
      <c r="B113" s="33" t="s">
        <v>28</v>
      </c>
      <c r="C113" s="33">
        <v>84</v>
      </c>
      <c r="D113" s="33">
        <v>77</v>
      </c>
      <c r="E113" s="33">
        <v>-7</v>
      </c>
      <c r="F113" s="34" t="s">
        <v>350</v>
      </c>
    </row>
    <row r="114" spans="1:6" ht="15.75" customHeight="1" x14ac:dyDescent="0.3">
      <c r="A114" s="31" t="s">
        <v>51</v>
      </c>
      <c r="B114" s="31" t="s">
        <v>28</v>
      </c>
      <c r="C114" s="31">
        <v>81</v>
      </c>
      <c r="D114" s="31">
        <v>59</v>
      </c>
      <c r="E114" s="31">
        <v>-22</v>
      </c>
      <c r="F114" s="34" t="s">
        <v>350</v>
      </c>
    </row>
    <row r="115" spans="1:6" ht="15.75" customHeight="1" x14ac:dyDescent="0.3">
      <c r="A115" s="33" t="s">
        <v>79</v>
      </c>
      <c r="B115" s="33" t="s">
        <v>80</v>
      </c>
      <c r="C115" s="33">
        <v>72</v>
      </c>
      <c r="D115" s="33">
        <v>46</v>
      </c>
      <c r="E115" s="33">
        <v>-26</v>
      </c>
      <c r="F115" s="34" t="s">
        <v>350</v>
      </c>
    </row>
    <row r="116" spans="1:6" ht="15.75" customHeight="1" x14ac:dyDescent="0.3">
      <c r="A116" s="31" t="s">
        <v>178</v>
      </c>
      <c r="B116" s="31" t="s">
        <v>28</v>
      </c>
      <c r="C116" s="31">
        <v>89</v>
      </c>
      <c r="D116" s="31">
        <v>79</v>
      </c>
      <c r="E116" s="31">
        <v>-10</v>
      </c>
      <c r="F116" s="34" t="s">
        <v>350</v>
      </c>
    </row>
    <row r="117" spans="1:6" ht="15.75" customHeight="1" x14ac:dyDescent="0.3">
      <c r="A117" s="33" t="s">
        <v>64</v>
      </c>
      <c r="B117" s="33" t="s">
        <v>65</v>
      </c>
      <c r="C117" s="33">
        <v>72</v>
      </c>
      <c r="D117" s="33">
        <v>78</v>
      </c>
      <c r="E117" s="33">
        <v>6</v>
      </c>
      <c r="F117" s="32" t="s">
        <v>349</v>
      </c>
    </row>
    <row r="118" spans="1:6" ht="15.75" customHeight="1" x14ac:dyDescent="0.3">
      <c r="A118" s="31" t="s">
        <v>70</v>
      </c>
      <c r="B118" s="31" t="s">
        <v>71</v>
      </c>
      <c r="C118" s="31">
        <v>77</v>
      </c>
      <c r="D118" s="31">
        <v>91</v>
      </c>
      <c r="E118" s="31">
        <v>14</v>
      </c>
      <c r="F118" s="32" t="s">
        <v>349</v>
      </c>
    </row>
    <row r="119" spans="1:6" ht="15.75" customHeight="1" x14ac:dyDescent="0.3">
      <c r="A119" s="33" t="s">
        <v>79</v>
      </c>
      <c r="B119" s="33" t="s">
        <v>80</v>
      </c>
      <c r="C119" s="33">
        <v>90</v>
      </c>
      <c r="D119" s="33">
        <v>56</v>
      </c>
      <c r="E119" s="33">
        <v>-34</v>
      </c>
      <c r="F119" s="34" t="s">
        <v>350</v>
      </c>
    </row>
    <row r="120" spans="1:6" ht="15.75" customHeight="1" x14ac:dyDescent="0.3">
      <c r="A120" s="31" t="s">
        <v>40</v>
      </c>
      <c r="B120" s="31" t="s">
        <v>41</v>
      </c>
      <c r="C120" s="31">
        <v>85</v>
      </c>
      <c r="D120" s="31">
        <v>61</v>
      </c>
      <c r="E120" s="31">
        <v>-24</v>
      </c>
      <c r="F120" s="34" t="s">
        <v>350</v>
      </c>
    </row>
    <row r="121" spans="1:6" ht="15.75" customHeight="1" x14ac:dyDescent="0.3">
      <c r="A121" s="33" t="s">
        <v>51</v>
      </c>
      <c r="B121" s="33" t="s">
        <v>28</v>
      </c>
      <c r="C121" s="33">
        <v>80</v>
      </c>
      <c r="D121" s="33">
        <v>56</v>
      </c>
      <c r="E121" s="33">
        <v>-24</v>
      </c>
      <c r="F121" s="34" t="s">
        <v>350</v>
      </c>
    </row>
    <row r="122" spans="1:6" ht="15.75" customHeight="1" x14ac:dyDescent="0.3">
      <c r="A122" s="31" t="s">
        <v>129</v>
      </c>
      <c r="B122" s="31" t="s">
        <v>71</v>
      </c>
      <c r="C122" s="31">
        <v>72</v>
      </c>
      <c r="D122" s="31">
        <v>65</v>
      </c>
      <c r="E122" s="31">
        <v>-7</v>
      </c>
      <c r="F122" s="34" t="s">
        <v>350</v>
      </c>
    </row>
    <row r="123" spans="1:6" ht="15.75" customHeight="1" x14ac:dyDescent="0.3">
      <c r="A123" s="33" t="s">
        <v>79</v>
      </c>
      <c r="B123" s="33" t="s">
        <v>80</v>
      </c>
      <c r="C123" s="33">
        <v>90</v>
      </c>
      <c r="D123" s="33">
        <v>95</v>
      </c>
      <c r="E123" s="33">
        <v>5</v>
      </c>
      <c r="F123" s="32" t="s">
        <v>349</v>
      </c>
    </row>
    <row r="126" spans="1:6" ht="21.75" customHeight="1" x14ac:dyDescent="0.3">
      <c r="A126" s="1" t="s">
        <v>351</v>
      </c>
      <c r="B126" s="1"/>
      <c r="C126" s="1"/>
      <c r="D126" s="1"/>
      <c r="E126" s="1"/>
      <c r="F126" s="1"/>
    </row>
    <row r="127" spans="1:6" ht="26.4" x14ac:dyDescent="0.3">
      <c r="A127" s="23" t="s">
        <v>2</v>
      </c>
      <c r="B127" s="23" t="s">
        <v>352</v>
      </c>
      <c r="C127" s="23" t="s">
        <v>353</v>
      </c>
    </row>
    <row r="128" spans="1:6" ht="18" customHeight="1" x14ac:dyDescent="0.3">
      <c r="A128" s="24" t="s">
        <v>65</v>
      </c>
      <c r="B128" s="24">
        <v>70.22</v>
      </c>
      <c r="C128" s="24">
        <v>78</v>
      </c>
    </row>
    <row r="129" spans="1:3" ht="18" customHeight="1" x14ac:dyDescent="0.3">
      <c r="A129" s="27" t="s">
        <v>28</v>
      </c>
      <c r="B129" s="27">
        <v>75.08</v>
      </c>
      <c r="C129" s="27">
        <v>56</v>
      </c>
    </row>
    <row r="130" spans="1:3" ht="18" customHeight="1" x14ac:dyDescent="0.3">
      <c r="A130" s="24" t="s">
        <v>47</v>
      </c>
      <c r="B130" s="24">
        <v>75.2</v>
      </c>
      <c r="C130" s="24">
        <v>53</v>
      </c>
    </row>
    <row r="131" spans="1:3" ht="18" customHeight="1" x14ac:dyDescent="0.3">
      <c r="A131" s="27" t="s">
        <v>41</v>
      </c>
      <c r="B131" s="27">
        <v>72.45</v>
      </c>
      <c r="C131" s="27">
        <v>73</v>
      </c>
    </row>
    <row r="132" spans="1:3" ht="18" customHeight="1" x14ac:dyDescent="0.3">
      <c r="A132" s="24" t="s">
        <v>115</v>
      </c>
      <c r="B132" s="24">
        <v>70.17</v>
      </c>
      <c r="C132" s="24">
        <v>67</v>
      </c>
    </row>
    <row r="133" spans="1:3" ht="18" customHeight="1" x14ac:dyDescent="0.3">
      <c r="A133" s="27" t="s">
        <v>71</v>
      </c>
      <c r="B133" s="27">
        <v>69.97</v>
      </c>
      <c r="C133" s="27">
        <v>73</v>
      </c>
    </row>
    <row r="134" spans="1:3" ht="18" customHeight="1" x14ac:dyDescent="0.3">
      <c r="A134" s="24" t="s">
        <v>80</v>
      </c>
      <c r="B134" s="24">
        <v>68.7</v>
      </c>
      <c r="C134" s="24">
        <v>70</v>
      </c>
    </row>
  </sheetData>
  <mergeCells count="2">
    <mergeCell ref="A1:K1"/>
    <mergeCell ref="A126:F1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14" customWidth="1"/>
    <col min="2" max="2" width="28" customWidth="1"/>
    <col min="3" max="3" width="16" customWidth="1"/>
    <col min="4" max="6" width="14" customWidth="1"/>
  </cols>
  <sheetData>
    <row r="1" spans="1:9" ht="34.5" customHeight="1" x14ac:dyDescent="0.3">
      <c r="A1" s="3" t="s">
        <v>354</v>
      </c>
      <c r="B1" s="3"/>
      <c r="C1" s="3"/>
      <c r="D1" s="3"/>
      <c r="E1" s="3"/>
      <c r="F1" s="3"/>
      <c r="G1" s="3"/>
      <c r="H1" s="3"/>
      <c r="I1" s="3"/>
    </row>
    <row r="3" spans="1:9" ht="25.8" customHeight="1" x14ac:dyDescent="0.3">
      <c r="A3" s="23" t="s">
        <v>2</v>
      </c>
      <c r="B3" s="23" t="s">
        <v>1</v>
      </c>
      <c r="C3" s="23" t="s">
        <v>336</v>
      </c>
      <c r="D3" s="23" t="s">
        <v>355</v>
      </c>
      <c r="E3" s="23" t="s">
        <v>356</v>
      </c>
      <c r="F3" s="23" t="s">
        <v>334</v>
      </c>
    </row>
    <row r="4" spans="1:9" ht="18" customHeight="1" x14ac:dyDescent="0.3">
      <c r="A4" s="24" t="s">
        <v>28</v>
      </c>
      <c r="B4" s="24" t="s">
        <v>51</v>
      </c>
      <c r="C4" s="26">
        <v>596648</v>
      </c>
      <c r="D4" s="35">
        <v>382.04</v>
      </c>
      <c r="E4" s="24">
        <v>1776</v>
      </c>
      <c r="F4" s="24">
        <v>60.21</v>
      </c>
    </row>
    <row r="5" spans="1:9" ht="18" customHeight="1" x14ac:dyDescent="0.3">
      <c r="A5" s="27" t="s">
        <v>28</v>
      </c>
      <c r="B5" s="27" t="s">
        <v>27</v>
      </c>
      <c r="C5" s="29">
        <v>530222</v>
      </c>
      <c r="D5" s="36">
        <v>567.30999999999995</v>
      </c>
      <c r="E5" s="27">
        <v>1203</v>
      </c>
      <c r="F5" s="27">
        <v>69.5</v>
      </c>
    </row>
    <row r="6" spans="1:9" ht="18" customHeight="1" x14ac:dyDescent="0.3">
      <c r="A6" s="24" t="s">
        <v>41</v>
      </c>
      <c r="B6" s="24" t="s">
        <v>40</v>
      </c>
      <c r="C6" s="26">
        <v>478405</v>
      </c>
      <c r="D6" s="35">
        <v>514.04999999999995</v>
      </c>
      <c r="E6" s="24">
        <v>1162</v>
      </c>
      <c r="F6" s="24">
        <v>62.52</v>
      </c>
    </row>
    <row r="7" spans="1:9" ht="18" customHeight="1" x14ac:dyDescent="0.3">
      <c r="A7" s="27" t="s">
        <v>71</v>
      </c>
      <c r="B7" s="27" t="s">
        <v>70</v>
      </c>
      <c r="C7" s="29">
        <v>443563</v>
      </c>
      <c r="D7" s="36">
        <v>475.87</v>
      </c>
      <c r="E7" s="27">
        <v>1018</v>
      </c>
      <c r="F7" s="27">
        <v>74.19</v>
      </c>
    </row>
    <row r="8" spans="1:9" ht="18" customHeight="1" x14ac:dyDescent="0.3">
      <c r="A8" s="24" t="s">
        <v>80</v>
      </c>
      <c r="B8" s="24" t="s">
        <v>79</v>
      </c>
      <c r="C8" s="26">
        <v>393207</v>
      </c>
      <c r="D8" s="35">
        <v>566.38</v>
      </c>
      <c r="E8" s="24">
        <v>1150</v>
      </c>
      <c r="F8" s="24">
        <v>77.2</v>
      </c>
    </row>
    <row r="9" spans="1:9" ht="18" customHeight="1" x14ac:dyDescent="0.3">
      <c r="A9" s="27" t="s">
        <v>71</v>
      </c>
      <c r="B9" s="27" t="s">
        <v>129</v>
      </c>
      <c r="C9" s="29">
        <v>370093</v>
      </c>
      <c r="D9" s="36">
        <v>567.86</v>
      </c>
      <c r="E9" s="27">
        <v>1023</v>
      </c>
      <c r="F9" s="27">
        <v>73.44</v>
      </c>
    </row>
    <row r="10" spans="1:9" ht="18" customHeight="1" x14ac:dyDescent="0.3">
      <c r="A10" s="24" t="s">
        <v>65</v>
      </c>
      <c r="B10" s="24" t="s">
        <v>64</v>
      </c>
      <c r="C10" s="26">
        <v>320496</v>
      </c>
      <c r="D10" s="35">
        <v>430.62</v>
      </c>
      <c r="E10" s="24">
        <v>996</v>
      </c>
      <c r="F10" s="24">
        <v>71.72</v>
      </c>
    </row>
    <row r="11" spans="1:9" ht="18" customHeight="1" x14ac:dyDescent="0.3">
      <c r="A11" s="27" t="s">
        <v>71</v>
      </c>
      <c r="B11" s="27" t="s">
        <v>96</v>
      </c>
      <c r="C11" s="29">
        <v>311804</v>
      </c>
      <c r="D11" s="36">
        <v>506.61</v>
      </c>
      <c r="E11" s="27">
        <v>901</v>
      </c>
      <c r="F11" s="27">
        <v>59.9</v>
      </c>
    </row>
    <row r="12" spans="1:9" ht="18" customHeight="1" x14ac:dyDescent="0.3">
      <c r="A12" s="24" t="s">
        <v>47</v>
      </c>
      <c r="B12" s="24" t="s">
        <v>46</v>
      </c>
      <c r="C12" s="26">
        <v>283596</v>
      </c>
      <c r="D12" s="35">
        <v>386.74</v>
      </c>
      <c r="E12" s="24">
        <v>963</v>
      </c>
      <c r="F12" s="24">
        <v>66.569999999999993</v>
      </c>
    </row>
    <row r="13" spans="1:9" ht="18" customHeight="1" x14ac:dyDescent="0.3">
      <c r="A13" s="27" t="s">
        <v>71</v>
      </c>
      <c r="B13" s="27" t="s">
        <v>91</v>
      </c>
      <c r="C13" s="29">
        <v>260401</v>
      </c>
      <c r="D13" s="36">
        <v>790.99</v>
      </c>
      <c r="E13" s="27">
        <v>414</v>
      </c>
      <c r="F13" s="27">
        <v>64.7</v>
      </c>
    </row>
    <row r="14" spans="1:9" ht="18" customHeight="1" x14ac:dyDescent="0.3">
      <c r="A14" s="24" t="s">
        <v>115</v>
      </c>
      <c r="B14" s="24" t="s">
        <v>114</v>
      </c>
      <c r="C14" s="26">
        <v>254924</v>
      </c>
      <c r="D14" s="35">
        <v>399.24</v>
      </c>
      <c r="E14" s="24">
        <v>712</v>
      </c>
      <c r="F14" s="24">
        <v>72.099999999999994</v>
      </c>
    </row>
    <row r="15" spans="1:9" ht="18" customHeight="1" x14ac:dyDescent="0.3">
      <c r="A15" s="27" t="s">
        <v>28</v>
      </c>
      <c r="B15" s="27" t="s">
        <v>178</v>
      </c>
      <c r="C15" s="29">
        <v>246083</v>
      </c>
      <c r="D15" s="36">
        <v>363.37</v>
      </c>
      <c r="E15" s="27">
        <v>693</v>
      </c>
      <c r="F15" s="27">
        <v>82.85</v>
      </c>
    </row>
    <row r="16" spans="1:9" ht="18" customHeight="1" x14ac:dyDescent="0.3">
      <c r="A16" s="24" t="s">
        <v>47</v>
      </c>
      <c r="B16" s="24" t="s">
        <v>57</v>
      </c>
      <c r="C16" s="26">
        <v>208597</v>
      </c>
      <c r="D16" s="35">
        <v>544.58000000000004</v>
      </c>
      <c r="E16" s="24">
        <v>453</v>
      </c>
      <c r="F16" s="24">
        <v>82.37</v>
      </c>
    </row>
    <row r="17" spans="1:6" ht="18" customHeight="1" x14ac:dyDescent="0.3">
      <c r="A17" s="27" t="s">
        <v>28</v>
      </c>
      <c r="B17" s="27" t="s">
        <v>34</v>
      </c>
      <c r="C17" s="29">
        <v>145392</v>
      </c>
      <c r="D17" s="36">
        <v>246.69</v>
      </c>
      <c r="E17" s="27">
        <v>625</v>
      </c>
      <c r="F17" s="27">
        <v>69.75</v>
      </c>
    </row>
    <row r="18" spans="1:6" ht="18" customHeight="1" x14ac:dyDescent="0.3">
      <c r="A18" s="24" t="s">
        <v>47</v>
      </c>
      <c r="B18" s="24" t="s">
        <v>120</v>
      </c>
      <c r="C18" s="26">
        <v>67020</v>
      </c>
      <c r="D18" s="35">
        <v>439.44</v>
      </c>
      <c r="E18" s="24">
        <v>247</v>
      </c>
      <c r="F18" s="24">
        <v>73.05</v>
      </c>
    </row>
    <row r="20" spans="1:6" x14ac:dyDescent="0.3">
      <c r="A20" t="s">
        <v>2</v>
      </c>
      <c r="B20" t="s">
        <v>336</v>
      </c>
    </row>
    <row r="21" spans="1:6" x14ac:dyDescent="0.3">
      <c r="A21" t="s">
        <v>65</v>
      </c>
      <c r="B21">
        <v>320496</v>
      </c>
    </row>
    <row r="22" spans="1:6" x14ac:dyDescent="0.3">
      <c r="A22" t="s">
        <v>28</v>
      </c>
      <c r="B22">
        <v>1518345</v>
      </c>
    </row>
    <row r="23" spans="1:6" x14ac:dyDescent="0.3">
      <c r="A23" t="s">
        <v>47</v>
      </c>
      <c r="B23">
        <v>559213</v>
      </c>
    </row>
    <row r="24" spans="1:6" x14ac:dyDescent="0.3">
      <c r="A24" t="s">
        <v>41</v>
      </c>
      <c r="B24">
        <v>478405</v>
      </c>
    </row>
    <row r="25" spans="1:6" x14ac:dyDescent="0.3">
      <c r="A25" t="s">
        <v>115</v>
      </c>
      <c r="B25">
        <v>254924</v>
      </c>
    </row>
    <row r="26" spans="1:6" x14ac:dyDescent="0.3">
      <c r="A26" t="s">
        <v>71</v>
      </c>
      <c r="B26">
        <v>1385861</v>
      </c>
    </row>
    <row r="27" spans="1:6" x14ac:dyDescent="0.3">
      <c r="A27" t="s">
        <v>80</v>
      </c>
      <c r="B27">
        <v>393207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12" customWidth="1"/>
    <col min="2" max="2" width="28" customWidth="1"/>
    <col min="3" max="3" width="14" customWidth="1"/>
    <col min="4" max="4" width="18" customWidth="1"/>
    <col min="5" max="5" width="14" customWidth="1"/>
    <col min="6" max="6" width="15" customWidth="1"/>
    <col min="7" max="7" width="12" customWidth="1"/>
    <col min="8" max="8" width="11" customWidth="1"/>
    <col min="9" max="9" width="10" customWidth="1"/>
    <col min="10" max="10" width="22" customWidth="1"/>
  </cols>
  <sheetData>
    <row r="1" spans="1:10" ht="34.5" customHeight="1" x14ac:dyDescent="0.3">
      <c r="A1" s="3" t="s">
        <v>357</v>
      </c>
      <c r="B1" s="3"/>
      <c r="C1" s="3"/>
      <c r="D1" s="3"/>
      <c r="E1" s="3"/>
      <c r="F1" s="3"/>
      <c r="G1" s="3"/>
      <c r="H1" s="3"/>
      <c r="I1" s="3"/>
      <c r="J1" s="3"/>
    </row>
    <row r="2" spans="1:10" ht="8.4" customHeight="1" x14ac:dyDescent="0.3"/>
    <row r="3" spans="1:10" ht="32.4" customHeight="1" x14ac:dyDescent="0.3">
      <c r="A3" s="37" t="s">
        <v>0</v>
      </c>
      <c r="B3" s="37" t="s">
        <v>1</v>
      </c>
      <c r="C3" s="37" t="s">
        <v>2</v>
      </c>
      <c r="D3" s="37" t="s">
        <v>3</v>
      </c>
      <c r="E3" s="37" t="s">
        <v>358</v>
      </c>
      <c r="F3" s="37" t="s">
        <v>359</v>
      </c>
      <c r="G3" s="37" t="s">
        <v>360</v>
      </c>
      <c r="H3" s="37" t="s">
        <v>21</v>
      </c>
      <c r="I3" s="37" t="s">
        <v>25</v>
      </c>
      <c r="J3" s="37" t="s">
        <v>19</v>
      </c>
    </row>
    <row r="4" spans="1:10" ht="18" customHeight="1" x14ac:dyDescent="0.3">
      <c r="A4" s="31" t="s">
        <v>146</v>
      </c>
      <c r="B4" s="31" t="s">
        <v>34</v>
      </c>
      <c r="C4" s="31" t="s">
        <v>28</v>
      </c>
      <c r="D4" s="31" t="s">
        <v>42</v>
      </c>
      <c r="E4" s="31">
        <v>34.200000000000003</v>
      </c>
      <c r="F4" s="31">
        <v>16</v>
      </c>
      <c r="G4" s="34">
        <v>18.2</v>
      </c>
      <c r="H4" s="31">
        <v>11.2</v>
      </c>
      <c r="I4" s="31" t="s">
        <v>361</v>
      </c>
      <c r="J4" s="31" t="s">
        <v>77</v>
      </c>
    </row>
    <row r="5" spans="1:10" ht="18" customHeight="1" x14ac:dyDescent="0.3">
      <c r="A5" s="33" t="s">
        <v>119</v>
      </c>
      <c r="B5" s="33" t="s">
        <v>120</v>
      </c>
      <c r="C5" s="33" t="s">
        <v>47</v>
      </c>
      <c r="D5" s="33" t="s">
        <v>81</v>
      </c>
      <c r="E5" s="33">
        <v>30.4</v>
      </c>
      <c r="F5" s="33">
        <v>14</v>
      </c>
      <c r="G5" s="34">
        <v>16.399999999999999</v>
      </c>
      <c r="H5" s="33">
        <v>13.1</v>
      </c>
      <c r="I5" s="33" t="s">
        <v>362</v>
      </c>
      <c r="J5" s="33" t="s">
        <v>77</v>
      </c>
    </row>
    <row r="6" spans="1:10" ht="18" customHeight="1" x14ac:dyDescent="0.3">
      <c r="A6" s="31" t="s">
        <v>137</v>
      </c>
      <c r="B6" s="31" t="s">
        <v>27</v>
      </c>
      <c r="C6" s="31" t="s">
        <v>28</v>
      </c>
      <c r="D6" s="31" t="s">
        <v>97</v>
      </c>
      <c r="E6" s="31">
        <v>30.8</v>
      </c>
      <c r="F6" s="31">
        <v>15</v>
      </c>
      <c r="G6" s="34">
        <v>15.8</v>
      </c>
      <c r="H6" s="31">
        <v>8.6999999999999993</v>
      </c>
      <c r="I6" s="31" t="s">
        <v>361</v>
      </c>
      <c r="J6" s="31" t="s">
        <v>68</v>
      </c>
    </row>
    <row r="7" spans="1:10" ht="18" customHeight="1" x14ac:dyDescent="0.3">
      <c r="A7" s="33" t="s">
        <v>110</v>
      </c>
      <c r="B7" s="33" t="s">
        <v>91</v>
      </c>
      <c r="C7" s="33" t="s">
        <v>71</v>
      </c>
      <c r="D7" s="33" t="s">
        <v>102</v>
      </c>
      <c r="E7" s="33">
        <v>28.6</v>
      </c>
      <c r="F7" s="33">
        <v>13</v>
      </c>
      <c r="G7" s="34">
        <v>15.6</v>
      </c>
      <c r="H7" s="33">
        <v>2.2000000000000002</v>
      </c>
      <c r="I7" s="33" t="s">
        <v>361</v>
      </c>
      <c r="J7" s="33" t="s">
        <v>38</v>
      </c>
    </row>
    <row r="8" spans="1:10" ht="18" customHeight="1" x14ac:dyDescent="0.3">
      <c r="A8" s="31" t="s">
        <v>207</v>
      </c>
      <c r="B8" s="31" t="s">
        <v>51</v>
      </c>
      <c r="C8" s="31" t="s">
        <v>28</v>
      </c>
      <c r="D8" s="31" t="s">
        <v>58</v>
      </c>
      <c r="E8" s="31">
        <v>28.6</v>
      </c>
      <c r="F8" s="31">
        <v>13</v>
      </c>
      <c r="G8" s="34">
        <v>15.6</v>
      </c>
      <c r="H8" s="31">
        <v>9.6999999999999993</v>
      </c>
      <c r="I8" s="31" t="s">
        <v>362</v>
      </c>
      <c r="J8" s="31" t="s">
        <v>44</v>
      </c>
    </row>
    <row r="9" spans="1:10" ht="18" customHeight="1" x14ac:dyDescent="0.3">
      <c r="A9" s="33" t="s">
        <v>69</v>
      </c>
      <c r="B9" s="33" t="s">
        <v>70</v>
      </c>
      <c r="C9" s="33" t="s">
        <v>71</v>
      </c>
      <c r="D9" s="33" t="s">
        <v>29</v>
      </c>
      <c r="E9" s="33">
        <v>28.5</v>
      </c>
      <c r="F9" s="33">
        <v>13</v>
      </c>
      <c r="G9" s="34">
        <v>15.5</v>
      </c>
      <c r="H9" s="33">
        <v>11</v>
      </c>
      <c r="I9" s="33" t="s">
        <v>361</v>
      </c>
      <c r="J9" s="33" t="s">
        <v>74</v>
      </c>
    </row>
    <row r="10" spans="1:10" ht="18" customHeight="1" x14ac:dyDescent="0.3">
      <c r="A10" s="31" t="s">
        <v>224</v>
      </c>
      <c r="B10" s="31" t="s">
        <v>51</v>
      </c>
      <c r="C10" s="31" t="s">
        <v>28</v>
      </c>
      <c r="D10" s="31" t="s">
        <v>29</v>
      </c>
      <c r="E10" s="31">
        <v>30.4</v>
      </c>
      <c r="F10" s="31">
        <v>16</v>
      </c>
      <c r="G10" s="34">
        <v>14.4</v>
      </c>
      <c r="H10" s="31">
        <v>4</v>
      </c>
      <c r="I10" s="31" t="s">
        <v>361</v>
      </c>
      <c r="J10" s="31" t="s">
        <v>38</v>
      </c>
    </row>
    <row r="11" spans="1:10" ht="18" customHeight="1" x14ac:dyDescent="0.3">
      <c r="A11" s="33" t="s">
        <v>274</v>
      </c>
      <c r="B11" s="33" t="s">
        <v>96</v>
      </c>
      <c r="C11" s="33" t="s">
        <v>71</v>
      </c>
      <c r="D11" s="33" t="s">
        <v>29</v>
      </c>
      <c r="E11" s="33">
        <v>25.6</v>
      </c>
      <c r="F11" s="33">
        <v>12</v>
      </c>
      <c r="G11" s="34">
        <v>13.6</v>
      </c>
      <c r="H11" s="33">
        <v>13.3</v>
      </c>
      <c r="I11" s="33" t="s">
        <v>361</v>
      </c>
      <c r="J11" s="33" t="s">
        <v>44</v>
      </c>
    </row>
    <row r="12" spans="1:10" ht="18" customHeight="1" x14ac:dyDescent="0.3">
      <c r="A12" s="31" t="s">
        <v>174</v>
      </c>
      <c r="B12" s="31" t="s">
        <v>57</v>
      </c>
      <c r="C12" s="31" t="s">
        <v>47</v>
      </c>
      <c r="D12" s="31" t="s">
        <v>102</v>
      </c>
      <c r="E12" s="31">
        <v>25.5</v>
      </c>
      <c r="F12" s="31">
        <v>12</v>
      </c>
      <c r="G12" s="34">
        <v>13.5</v>
      </c>
      <c r="H12" s="31">
        <v>7.3</v>
      </c>
      <c r="I12" s="31" t="s">
        <v>361</v>
      </c>
      <c r="J12" s="31" t="s">
        <v>44</v>
      </c>
    </row>
    <row r="13" spans="1:10" ht="18" customHeight="1" x14ac:dyDescent="0.3">
      <c r="A13" s="33" t="s">
        <v>285</v>
      </c>
      <c r="B13" s="33" t="s">
        <v>51</v>
      </c>
      <c r="C13" s="33" t="s">
        <v>28</v>
      </c>
      <c r="D13" s="33" t="s">
        <v>29</v>
      </c>
      <c r="E13" s="33">
        <v>25.2</v>
      </c>
      <c r="F13" s="33">
        <v>12</v>
      </c>
      <c r="G13" s="34">
        <v>13.2</v>
      </c>
      <c r="H13" s="33">
        <v>5.9</v>
      </c>
      <c r="I13" s="33" t="s">
        <v>361</v>
      </c>
      <c r="J13" s="33" t="s">
        <v>68</v>
      </c>
    </row>
    <row r="14" spans="1:10" ht="18" customHeight="1" x14ac:dyDescent="0.3">
      <c r="A14" s="31" t="s">
        <v>87</v>
      </c>
      <c r="B14" s="31" t="s">
        <v>46</v>
      </c>
      <c r="C14" s="31" t="s">
        <v>47</v>
      </c>
      <c r="D14" s="31" t="s">
        <v>29</v>
      </c>
      <c r="E14" s="31">
        <v>28.7</v>
      </c>
      <c r="F14" s="31">
        <v>16</v>
      </c>
      <c r="G14" s="34">
        <v>12.7</v>
      </c>
      <c r="H14" s="31">
        <v>8.5</v>
      </c>
      <c r="I14" s="31" t="s">
        <v>361</v>
      </c>
      <c r="J14" s="31" t="s">
        <v>83</v>
      </c>
    </row>
    <row r="15" spans="1:10" ht="18" customHeight="1" x14ac:dyDescent="0.3">
      <c r="A15" s="33" t="s">
        <v>149</v>
      </c>
      <c r="B15" s="33" t="s">
        <v>129</v>
      </c>
      <c r="C15" s="33" t="s">
        <v>71</v>
      </c>
      <c r="D15" s="33" t="s">
        <v>42</v>
      </c>
      <c r="E15" s="33">
        <v>25</v>
      </c>
      <c r="F15" s="33">
        <v>13</v>
      </c>
      <c r="G15" s="34">
        <v>12</v>
      </c>
      <c r="H15" s="33">
        <v>11.4</v>
      </c>
      <c r="I15" s="33" t="s">
        <v>361</v>
      </c>
      <c r="J15" s="33" t="s">
        <v>49</v>
      </c>
    </row>
    <row r="16" spans="1:10" ht="18" customHeight="1" x14ac:dyDescent="0.3">
      <c r="A16" s="31" t="s">
        <v>260</v>
      </c>
      <c r="B16" s="31" t="s">
        <v>91</v>
      </c>
      <c r="C16" s="31" t="s">
        <v>71</v>
      </c>
      <c r="D16" s="31" t="s">
        <v>35</v>
      </c>
      <c r="E16" s="31">
        <v>21.8</v>
      </c>
      <c r="F16" s="31">
        <v>10</v>
      </c>
      <c r="G16" s="34">
        <v>11.8</v>
      </c>
      <c r="H16" s="31">
        <v>5.9</v>
      </c>
      <c r="I16" s="31" t="s">
        <v>361</v>
      </c>
      <c r="J16" s="31" t="s">
        <v>44</v>
      </c>
    </row>
    <row r="17" spans="1:10" ht="18" customHeight="1" x14ac:dyDescent="0.3">
      <c r="A17" s="33" t="s">
        <v>63</v>
      </c>
      <c r="B17" s="33" t="s">
        <v>64</v>
      </c>
      <c r="C17" s="33" t="s">
        <v>65</v>
      </c>
      <c r="D17" s="33" t="s">
        <v>52</v>
      </c>
      <c r="E17" s="33">
        <v>20.5</v>
      </c>
      <c r="F17" s="33">
        <v>10</v>
      </c>
      <c r="G17" s="34">
        <v>10.5</v>
      </c>
      <c r="H17" s="33">
        <v>3.3</v>
      </c>
      <c r="I17" s="33" t="s">
        <v>361</v>
      </c>
      <c r="J17" s="33" t="s">
        <v>68</v>
      </c>
    </row>
    <row r="18" spans="1:10" ht="18" customHeight="1" x14ac:dyDescent="0.3">
      <c r="A18" s="31" t="s">
        <v>281</v>
      </c>
      <c r="B18" s="31" t="s">
        <v>51</v>
      </c>
      <c r="C18" s="31" t="s">
        <v>28</v>
      </c>
      <c r="D18" s="31" t="s">
        <v>97</v>
      </c>
      <c r="E18" s="31">
        <v>22.3</v>
      </c>
      <c r="F18" s="31">
        <v>12</v>
      </c>
      <c r="G18" s="34">
        <v>10.3</v>
      </c>
      <c r="H18" s="31">
        <v>6.5</v>
      </c>
      <c r="I18" s="31" t="s">
        <v>361</v>
      </c>
      <c r="J18" s="31" t="s">
        <v>86</v>
      </c>
    </row>
    <row r="19" spans="1:10" ht="18" customHeight="1" x14ac:dyDescent="0.3">
      <c r="A19" s="33" t="s">
        <v>186</v>
      </c>
      <c r="B19" s="33" t="s">
        <v>114</v>
      </c>
      <c r="C19" s="33" t="s">
        <v>115</v>
      </c>
      <c r="D19" s="33" t="s">
        <v>29</v>
      </c>
      <c r="E19" s="33">
        <v>26</v>
      </c>
      <c r="F19" s="33">
        <v>16</v>
      </c>
      <c r="G19" s="34">
        <v>10</v>
      </c>
      <c r="H19" s="33">
        <v>9.1999999999999993</v>
      </c>
      <c r="I19" s="33" t="s">
        <v>362</v>
      </c>
      <c r="J19" s="33" t="s">
        <v>86</v>
      </c>
    </row>
    <row r="20" spans="1:10" ht="18" customHeight="1" x14ac:dyDescent="0.3">
      <c r="A20" s="31" t="s">
        <v>263</v>
      </c>
      <c r="B20" s="31" t="s">
        <v>114</v>
      </c>
      <c r="C20" s="31" t="s">
        <v>115</v>
      </c>
      <c r="D20" s="31" t="s">
        <v>29</v>
      </c>
      <c r="E20" s="31">
        <v>24.9</v>
      </c>
      <c r="F20" s="31">
        <v>15</v>
      </c>
      <c r="G20" s="34">
        <v>9.9</v>
      </c>
      <c r="H20" s="31">
        <v>0</v>
      </c>
      <c r="I20" s="31" t="s">
        <v>362</v>
      </c>
      <c r="J20" s="31" t="s">
        <v>74</v>
      </c>
    </row>
    <row r="21" spans="1:10" ht="18" customHeight="1" x14ac:dyDescent="0.3">
      <c r="A21" s="33" t="s">
        <v>287</v>
      </c>
      <c r="B21" s="33" t="s">
        <v>51</v>
      </c>
      <c r="C21" s="33" t="s">
        <v>28</v>
      </c>
      <c r="D21" s="33" t="s">
        <v>58</v>
      </c>
      <c r="E21" s="33">
        <v>18.899999999999999</v>
      </c>
      <c r="F21" s="33">
        <v>9</v>
      </c>
      <c r="G21" s="34">
        <v>9.9</v>
      </c>
      <c r="H21" s="33">
        <v>12.7</v>
      </c>
      <c r="I21" s="33" t="s">
        <v>361</v>
      </c>
      <c r="J21" s="33" t="s">
        <v>55</v>
      </c>
    </row>
    <row r="22" spans="1:10" ht="18" customHeight="1" x14ac:dyDescent="0.3">
      <c r="A22" s="31" t="s">
        <v>95</v>
      </c>
      <c r="B22" s="31" t="s">
        <v>96</v>
      </c>
      <c r="C22" s="31" t="s">
        <v>71</v>
      </c>
      <c r="D22" s="31" t="s">
        <v>97</v>
      </c>
      <c r="E22" s="31">
        <v>23.5</v>
      </c>
      <c r="F22" s="31">
        <v>14</v>
      </c>
      <c r="G22" s="34">
        <v>9.5</v>
      </c>
      <c r="H22" s="31">
        <v>6.5</v>
      </c>
      <c r="I22" s="31" t="s">
        <v>361</v>
      </c>
      <c r="J22" s="31" t="s">
        <v>44</v>
      </c>
    </row>
    <row r="23" spans="1:10" ht="18" customHeight="1" x14ac:dyDescent="0.3">
      <c r="A23" s="33" t="s">
        <v>262</v>
      </c>
      <c r="B23" s="33" t="s">
        <v>79</v>
      </c>
      <c r="C23" s="33" t="s">
        <v>80</v>
      </c>
      <c r="D23" s="33" t="s">
        <v>58</v>
      </c>
      <c r="E23" s="33">
        <v>21.1</v>
      </c>
      <c r="F23" s="33">
        <v>12</v>
      </c>
      <c r="G23" s="34">
        <v>9.1</v>
      </c>
      <c r="H23" s="33">
        <v>14.2</v>
      </c>
      <c r="I23" s="33" t="s">
        <v>361</v>
      </c>
      <c r="J23" s="33" t="s">
        <v>55</v>
      </c>
    </row>
    <row r="26" spans="1:10" x14ac:dyDescent="0.3">
      <c r="A26" s="38" t="s">
        <v>19</v>
      </c>
      <c r="B26" s="38" t="s">
        <v>341</v>
      </c>
    </row>
    <row r="27" spans="1:10" x14ac:dyDescent="0.3">
      <c r="A27" t="s">
        <v>44</v>
      </c>
      <c r="B27">
        <v>20</v>
      </c>
    </row>
    <row r="28" spans="1:10" x14ac:dyDescent="0.3">
      <c r="A28" t="s">
        <v>77</v>
      </c>
      <c r="B28">
        <v>15</v>
      </c>
    </row>
    <row r="29" spans="1:10" x14ac:dyDescent="0.3">
      <c r="A29" t="s">
        <v>49</v>
      </c>
      <c r="B29">
        <v>14</v>
      </c>
    </row>
    <row r="30" spans="1:10" x14ac:dyDescent="0.3">
      <c r="A30" t="s">
        <v>38</v>
      </c>
      <c r="B30">
        <v>13</v>
      </c>
    </row>
    <row r="31" spans="1:10" x14ac:dyDescent="0.3">
      <c r="A31" t="s">
        <v>55</v>
      </c>
      <c r="B31">
        <v>13</v>
      </c>
    </row>
    <row r="32" spans="1:10" x14ac:dyDescent="0.3">
      <c r="A32" t="s">
        <v>32</v>
      </c>
      <c r="B32">
        <v>12</v>
      </c>
    </row>
    <row r="33" spans="1:2" x14ac:dyDescent="0.3">
      <c r="A33" t="s">
        <v>83</v>
      </c>
      <c r="B33">
        <v>11</v>
      </c>
    </row>
    <row r="34" spans="1:2" x14ac:dyDescent="0.3">
      <c r="A34" t="s">
        <v>74</v>
      </c>
      <c r="B34">
        <v>9</v>
      </c>
    </row>
    <row r="35" spans="1:2" x14ac:dyDescent="0.3">
      <c r="A35" t="s">
        <v>86</v>
      </c>
      <c r="B35">
        <v>9</v>
      </c>
    </row>
    <row r="36" spans="1:2" x14ac:dyDescent="0.3">
      <c r="A36" t="s">
        <v>68</v>
      </c>
      <c r="B36">
        <v>4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14" customWidth="1"/>
    <col min="2" max="2" width="28" customWidth="1"/>
    <col min="3" max="4" width="12" customWidth="1"/>
    <col min="5" max="5" width="14" customWidth="1"/>
    <col min="6" max="6" width="15" customWidth="1"/>
    <col min="7" max="7" width="11" customWidth="1"/>
  </cols>
  <sheetData>
    <row r="1" spans="1:9" ht="34.5" customHeight="1" x14ac:dyDescent="0.3">
      <c r="A1" s="3" t="s">
        <v>363</v>
      </c>
      <c r="B1" s="3"/>
      <c r="C1" s="3"/>
      <c r="D1" s="3"/>
      <c r="E1" s="3"/>
      <c r="F1" s="3"/>
      <c r="G1" s="3"/>
      <c r="H1" s="3"/>
      <c r="I1" s="3"/>
    </row>
    <row r="3" spans="1:9" ht="30" customHeight="1" x14ac:dyDescent="0.3">
      <c r="A3" s="39" t="s">
        <v>2</v>
      </c>
      <c r="B3" s="39" t="s">
        <v>1</v>
      </c>
      <c r="C3" s="39" t="s">
        <v>364</v>
      </c>
      <c r="D3" s="39" t="s">
        <v>365</v>
      </c>
      <c r="E3" s="39" t="s">
        <v>337</v>
      </c>
      <c r="F3" s="39" t="s">
        <v>366</v>
      </c>
      <c r="G3" s="39" t="s">
        <v>367</v>
      </c>
    </row>
    <row r="4" spans="1:9" ht="18" customHeight="1" x14ac:dyDescent="0.3">
      <c r="A4" s="24" t="s">
        <v>28</v>
      </c>
      <c r="B4" s="24" t="s">
        <v>51</v>
      </c>
      <c r="C4" s="24">
        <v>147</v>
      </c>
      <c r="D4" s="24">
        <v>63</v>
      </c>
      <c r="E4" s="30">
        <v>8.93</v>
      </c>
      <c r="F4" s="24">
        <v>3.78</v>
      </c>
      <c r="G4" s="24">
        <v>1776</v>
      </c>
    </row>
    <row r="5" spans="1:9" ht="18" customHeight="1" x14ac:dyDescent="0.3">
      <c r="A5" s="27" t="s">
        <v>80</v>
      </c>
      <c r="B5" s="27" t="s">
        <v>79</v>
      </c>
      <c r="C5" s="27">
        <v>114</v>
      </c>
      <c r="D5" s="27">
        <v>63</v>
      </c>
      <c r="E5" s="30">
        <v>8.84</v>
      </c>
      <c r="F5" s="27">
        <v>4.37</v>
      </c>
      <c r="G5" s="27">
        <v>1150</v>
      </c>
    </row>
    <row r="6" spans="1:9" ht="18" customHeight="1" x14ac:dyDescent="0.3">
      <c r="A6" s="24" t="s">
        <v>65</v>
      </c>
      <c r="B6" s="24" t="s">
        <v>64</v>
      </c>
      <c r="C6" s="24">
        <v>103</v>
      </c>
      <c r="D6" s="24">
        <v>70</v>
      </c>
      <c r="E6" s="30">
        <v>9.57</v>
      </c>
      <c r="F6" s="30">
        <v>6.5</v>
      </c>
      <c r="G6" s="24">
        <v>996</v>
      </c>
    </row>
    <row r="7" spans="1:9" ht="18" customHeight="1" x14ac:dyDescent="0.3">
      <c r="A7" s="27" t="s">
        <v>71</v>
      </c>
      <c r="B7" s="27" t="s">
        <v>70</v>
      </c>
      <c r="C7" s="27">
        <v>90</v>
      </c>
      <c r="D7" s="27">
        <v>47</v>
      </c>
      <c r="E7" s="30">
        <v>8.91</v>
      </c>
      <c r="F7" s="27">
        <v>4.74</v>
      </c>
      <c r="G7" s="27">
        <v>1018</v>
      </c>
    </row>
    <row r="8" spans="1:9" ht="18" customHeight="1" x14ac:dyDescent="0.3">
      <c r="A8" s="24" t="s">
        <v>41</v>
      </c>
      <c r="B8" s="24" t="s">
        <v>40</v>
      </c>
      <c r="C8" s="24">
        <v>87</v>
      </c>
      <c r="D8" s="24">
        <v>32</v>
      </c>
      <c r="E8" s="30">
        <v>7.56</v>
      </c>
      <c r="F8" s="24">
        <v>3.16</v>
      </c>
      <c r="G8" s="24">
        <v>1162</v>
      </c>
    </row>
    <row r="9" spans="1:9" ht="18" customHeight="1" x14ac:dyDescent="0.3">
      <c r="A9" s="27" t="s">
        <v>71</v>
      </c>
      <c r="B9" s="27" t="s">
        <v>129</v>
      </c>
      <c r="C9" s="27">
        <v>87</v>
      </c>
      <c r="D9" s="27">
        <v>56</v>
      </c>
      <c r="E9" s="30">
        <v>8.2799999999999994</v>
      </c>
      <c r="F9" s="30">
        <v>5.19</v>
      </c>
      <c r="G9" s="27">
        <v>1023</v>
      </c>
    </row>
    <row r="10" spans="1:9" ht="18" customHeight="1" x14ac:dyDescent="0.3">
      <c r="A10" s="24" t="s">
        <v>47</v>
      </c>
      <c r="B10" s="24" t="s">
        <v>46</v>
      </c>
      <c r="C10" s="24">
        <v>82</v>
      </c>
      <c r="D10" s="24">
        <v>32</v>
      </c>
      <c r="E10" s="30">
        <v>7.63</v>
      </c>
      <c r="F10" s="24">
        <v>3.26</v>
      </c>
      <c r="G10" s="24">
        <v>963</v>
      </c>
    </row>
    <row r="11" spans="1:9" ht="18" customHeight="1" x14ac:dyDescent="0.3">
      <c r="A11" s="27" t="s">
        <v>28</v>
      </c>
      <c r="B11" s="27" t="s">
        <v>27</v>
      </c>
      <c r="C11" s="27">
        <v>80</v>
      </c>
      <c r="D11" s="27">
        <v>37</v>
      </c>
      <c r="E11" s="30">
        <v>7.32</v>
      </c>
      <c r="F11" s="27">
        <v>3.02</v>
      </c>
      <c r="G11" s="27">
        <v>1203</v>
      </c>
    </row>
    <row r="12" spans="1:9" ht="18" customHeight="1" x14ac:dyDescent="0.3">
      <c r="A12" s="24" t="s">
        <v>115</v>
      </c>
      <c r="B12" s="24" t="s">
        <v>114</v>
      </c>
      <c r="C12" s="24">
        <v>68</v>
      </c>
      <c r="D12" s="24">
        <v>30</v>
      </c>
      <c r="E12" s="30">
        <v>7.7</v>
      </c>
      <c r="F12" s="24">
        <v>2.97</v>
      </c>
      <c r="G12" s="24">
        <v>712</v>
      </c>
    </row>
    <row r="13" spans="1:9" ht="18" customHeight="1" x14ac:dyDescent="0.3">
      <c r="A13" s="27" t="s">
        <v>28</v>
      </c>
      <c r="B13" s="27" t="s">
        <v>178</v>
      </c>
      <c r="C13" s="27">
        <v>57</v>
      </c>
      <c r="D13" s="27">
        <v>31</v>
      </c>
      <c r="E13" s="30">
        <v>8.5500000000000007</v>
      </c>
      <c r="F13" s="27">
        <v>4.96</v>
      </c>
      <c r="G13" s="27">
        <v>693</v>
      </c>
    </row>
    <row r="14" spans="1:9" ht="18" customHeight="1" x14ac:dyDescent="0.3">
      <c r="A14" s="24" t="s">
        <v>28</v>
      </c>
      <c r="B14" s="24" t="s">
        <v>34</v>
      </c>
      <c r="C14" s="24">
        <v>54</v>
      </c>
      <c r="D14" s="24">
        <v>33</v>
      </c>
      <c r="E14" s="30">
        <v>9.3000000000000007</v>
      </c>
      <c r="F14" s="30">
        <v>6.3</v>
      </c>
      <c r="G14" s="24">
        <v>625</v>
      </c>
    </row>
    <row r="15" spans="1:9" ht="18" customHeight="1" x14ac:dyDescent="0.3">
      <c r="A15" s="27" t="s">
        <v>71</v>
      </c>
      <c r="B15" s="27" t="s">
        <v>96</v>
      </c>
      <c r="C15" s="27">
        <v>52</v>
      </c>
      <c r="D15" s="27">
        <v>35</v>
      </c>
      <c r="E15" s="30">
        <v>5.68</v>
      </c>
      <c r="F15" s="27">
        <v>3.35</v>
      </c>
      <c r="G15" s="27">
        <v>901</v>
      </c>
    </row>
    <row r="16" spans="1:9" ht="18" customHeight="1" x14ac:dyDescent="0.3">
      <c r="A16" s="24" t="s">
        <v>71</v>
      </c>
      <c r="B16" s="24" t="s">
        <v>91</v>
      </c>
      <c r="C16" s="24">
        <v>47</v>
      </c>
      <c r="D16" s="24">
        <v>23</v>
      </c>
      <c r="E16" s="30">
        <v>10.119999999999999</v>
      </c>
      <c r="F16" s="24">
        <v>4.63</v>
      </c>
      <c r="G16" s="24">
        <v>414</v>
      </c>
    </row>
    <row r="17" spans="1:7" ht="18" customHeight="1" x14ac:dyDescent="0.3">
      <c r="A17" s="27" t="s">
        <v>47</v>
      </c>
      <c r="B17" s="27" t="s">
        <v>57</v>
      </c>
      <c r="C17" s="27">
        <v>16</v>
      </c>
      <c r="D17" s="27">
        <v>12</v>
      </c>
      <c r="E17" s="27">
        <v>4.05</v>
      </c>
      <c r="F17" s="27">
        <v>3.17</v>
      </c>
      <c r="G17" s="27">
        <v>453</v>
      </c>
    </row>
    <row r="18" spans="1:7" ht="18" customHeight="1" x14ac:dyDescent="0.3">
      <c r="A18" s="24" t="s">
        <v>47</v>
      </c>
      <c r="B18" s="24" t="s">
        <v>120</v>
      </c>
      <c r="C18" s="24">
        <v>8</v>
      </c>
      <c r="D18" s="24">
        <v>6</v>
      </c>
      <c r="E18" s="30">
        <v>6.55</v>
      </c>
      <c r="F18" s="24">
        <v>4.9000000000000004</v>
      </c>
      <c r="G18" s="24">
        <v>247</v>
      </c>
    </row>
    <row r="20" spans="1:7" x14ac:dyDescent="0.3">
      <c r="A20" t="s">
        <v>2</v>
      </c>
      <c r="B20" t="s">
        <v>337</v>
      </c>
      <c r="C20" t="s">
        <v>366</v>
      </c>
    </row>
    <row r="21" spans="1:7" x14ac:dyDescent="0.3">
      <c r="A21" t="s">
        <v>65</v>
      </c>
      <c r="B21">
        <v>9.57</v>
      </c>
      <c r="C21">
        <v>6.5</v>
      </c>
    </row>
    <row r="22" spans="1:7" x14ac:dyDescent="0.3">
      <c r="A22" t="s">
        <v>28</v>
      </c>
      <c r="B22">
        <v>8.42</v>
      </c>
      <c r="C22">
        <v>4.18</v>
      </c>
    </row>
    <row r="23" spans="1:7" x14ac:dyDescent="0.3">
      <c r="A23" t="s">
        <v>47</v>
      </c>
      <c r="B23">
        <v>6.05</v>
      </c>
      <c r="C23">
        <v>3.44</v>
      </c>
    </row>
    <row r="24" spans="1:7" x14ac:dyDescent="0.3">
      <c r="A24" t="s">
        <v>41</v>
      </c>
      <c r="B24">
        <v>7.56</v>
      </c>
      <c r="C24">
        <v>3.16</v>
      </c>
    </row>
    <row r="25" spans="1:7" x14ac:dyDescent="0.3">
      <c r="A25" t="s">
        <v>115</v>
      </c>
      <c r="B25">
        <v>7.7</v>
      </c>
      <c r="C25">
        <v>2.97</v>
      </c>
    </row>
    <row r="26" spans="1:7" x14ac:dyDescent="0.3">
      <c r="A26" t="s">
        <v>71</v>
      </c>
      <c r="B26">
        <v>8.1199999999999992</v>
      </c>
      <c r="C26">
        <v>4.47</v>
      </c>
    </row>
    <row r="27" spans="1:7" x14ac:dyDescent="0.3">
      <c r="A27" t="s">
        <v>80</v>
      </c>
      <c r="B27">
        <v>8.84</v>
      </c>
      <c r="C27">
        <v>4.37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4" customWidth="1"/>
    <col min="2" max="2" width="32" customWidth="1"/>
    <col min="3" max="3" width="18" customWidth="1"/>
    <col min="4" max="4" width="10" customWidth="1"/>
    <col min="5" max="5" width="42" customWidth="1"/>
    <col min="6" max="6" width="30" customWidth="1"/>
    <col min="7" max="7" width="12" customWidth="1"/>
  </cols>
  <sheetData>
    <row r="1" spans="1:7" ht="34.5" customHeight="1" x14ac:dyDescent="0.3">
      <c r="A1" s="3" t="s">
        <v>368</v>
      </c>
      <c r="B1" s="3"/>
      <c r="C1" s="3"/>
      <c r="D1" s="3"/>
      <c r="E1" s="3"/>
      <c r="F1" s="3"/>
      <c r="G1" s="3"/>
    </row>
    <row r="2" spans="1:7" ht="18" customHeight="1" x14ac:dyDescent="0.3">
      <c r="A2" s="2" t="s">
        <v>369</v>
      </c>
      <c r="B2" s="2"/>
      <c r="C2" s="2"/>
      <c r="D2" s="2"/>
      <c r="E2" s="2"/>
      <c r="F2" s="2"/>
      <c r="G2" s="2"/>
    </row>
    <row r="4" spans="1:7" ht="21.75" customHeight="1" x14ac:dyDescent="0.3">
      <c r="A4" s="23" t="s">
        <v>370</v>
      </c>
      <c r="B4" s="23" t="s">
        <v>371</v>
      </c>
      <c r="C4" s="23" t="s">
        <v>372</v>
      </c>
      <c r="D4" s="23" t="s">
        <v>373</v>
      </c>
      <c r="E4" s="23" t="s">
        <v>374</v>
      </c>
      <c r="F4" s="23" t="s">
        <v>375</v>
      </c>
      <c r="G4" s="23" t="s">
        <v>376</v>
      </c>
    </row>
    <row r="5" spans="1:7" ht="39.75" customHeight="1" x14ac:dyDescent="0.3">
      <c r="A5" s="24">
        <v>1</v>
      </c>
      <c r="B5" s="24" t="s">
        <v>377</v>
      </c>
      <c r="C5" s="24" t="s">
        <v>65</v>
      </c>
      <c r="D5" s="30" t="s">
        <v>378</v>
      </c>
      <c r="E5" s="24" t="s">
        <v>379</v>
      </c>
      <c r="F5" s="24" t="s">
        <v>380</v>
      </c>
      <c r="G5" s="24" t="s">
        <v>381</v>
      </c>
    </row>
    <row r="6" spans="1:7" ht="39.75" customHeight="1" x14ac:dyDescent="0.3">
      <c r="A6" s="27">
        <v>2</v>
      </c>
      <c r="B6" s="27" t="s">
        <v>382</v>
      </c>
      <c r="C6" s="27" t="s">
        <v>383</v>
      </c>
      <c r="D6" s="30" t="s">
        <v>378</v>
      </c>
      <c r="E6" s="27" t="s">
        <v>384</v>
      </c>
      <c r="F6" s="27" t="s">
        <v>385</v>
      </c>
      <c r="G6" s="27" t="s">
        <v>386</v>
      </c>
    </row>
    <row r="7" spans="1:7" ht="39.75" customHeight="1" x14ac:dyDescent="0.3">
      <c r="A7" s="24">
        <v>3</v>
      </c>
      <c r="B7" s="24" t="s">
        <v>387</v>
      </c>
      <c r="C7" s="24" t="s">
        <v>41</v>
      </c>
      <c r="D7" s="40" t="s">
        <v>388</v>
      </c>
      <c r="E7" s="24" t="s">
        <v>389</v>
      </c>
      <c r="F7" s="24" t="s">
        <v>390</v>
      </c>
      <c r="G7" s="24" t="s">
        <v>386</v>
      </c>
    </row>
    <row r="8" spans="1:7" ht="39.75" customHeight="1" x14ac:dyDescent="0.3">
      <c r="A8" s="27">
        <v>4</v>
      </c>
      <c r="B8" s="27" t="s">
        <v>391</v>
      </c>
      <c r="C8" s="27" t="s">
        <v>28</v>
      </c>
      <c r="D8" s="30" t="s">
        <v>378</v>
      </c>
      <c r="E8" s="27" t="s">
        <v>392</v>
      </c>
      <c r="F8" s="27" t="s">
        <v>393</v>
      </c>
      <c r="G8" s="27" t="s">
        <v>381</v>
      </c>
    </row>
    <row r="9" spans="1:7" ht="39.75" customHeight="1" x14ac:dyDescent="0.3">
      <c r="A9" s="24">
        <v>5</v>
      </c>
      <c r="B9" s="24" t="s">
        <v>394</v>
      </c>
      <c r="C9" s="24" t="s">
        <v>395</v>
      </c>
      <c r="D9" s="40" t="s">
        <v>388</v>
      </c>
      <c r="E9" s="24" t="s">
        <v>396</v>
      </c>
      <c r="F9" s="24" t="s">
        <v>397</v>
      </c>
      <c r="G9" s="24" t="s">
        <v>398</v>
      </c>
    </row>
    <row r="10" spans="1:7" ht="39.75" customHeight="1" x14ac:dyDescent="0.3">
      <c r="A10" s="27">
        <v>6</v>
      </c>
      <c r="B10" s="27" t="s">
        <v>399</v>
      </c>
      <c r="C10" s="27" t="s">
        <v>400</v>
      </c>
      <c r="D10" s="40" t="s">
        <v>388</v>
      </c>
      <c r="E10" s="27" t="s">
        <v>401</v>
      </c>
      <c r="F10" s="27" t="s">
        <v>402</v>
      </c>
      <c r="G10" s="27" t="s">
        <v>386</v>
      </c>
    </row>
    <row r="11" spans="1:7" ht="39.75" customHeight="1" x14ac:dyDescent="0.3">
      <c r="A11" s="24">
        <v>7</v>
      </c>
      <c r="B11" s="24" t="s">
        <v>403</v>
      </c>
      <c r="C11" s="24" t="s">
        <v>404</v>
      </c>
      <c r="D11" s="41" t="s">
        <v>405</v>
      </c>
      <c r="E11" s="24" t="s">
        <v>406</v>
      </c>
      <c r="F11" s="24" t="s">
        <v>407</v>
      </c>
      <c r="G11" s="24" t="s">
        <v>398</v>
      </c>
    </row>
    <row r="12" spans="1:7" ht="39.75" customHeight="1" x14ac:dyDescent="0.3">
      <c r="A12" s="27">
        <v>8</v>
      </c>
      <c r="B12" s="27" t="s">
        <v>408</v>
      </c>
      <c r="C12" s="27" t="s">
        <v>409</v>
      </c>
      <c r="D12" s="30" t="s">
        <v>378</v>
      </c>
      <c r="E12" s="27" t="s">
        <v>410</v>
      </c>
      <c r="F12" s="27" t="s">
        <v>411</v>
      </c>
      <c r="G12" s="27" t="s">
        <v>412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Process Data</vt:lpstr>
      <vt:lpstr>KPI Summary</vt:lpstr>
      <vt:lpstr>Department Analysis</vt:lpstr>
      <vt:lpstr>Process Analysis</vt:lpstr>
      <vt:lpstr>SLA Dashboard</vt:lpstr>
      <vt:lpstr>Cost Analysis</vt:lpstr>
      <vt:lpstr>Bottleneck Analysis</vt:lpstr>
      <vt:lpstr>Error &amp; Rework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1</cp:revision>
  <dcterms:created xsi:type="dcterms:W3CDTF">2026-06-09T10:52:49Z</dcterms:created>
  <dcterms:modified xsi:type="dcterms:W3CDTF">2026-06-10T11:05:27Z</dcterms:modified>
  <dc:language>en-US</dc:language>
</cp:coreProperties>
</file>